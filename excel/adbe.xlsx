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rive\CAREER\STOCK RESEARCH\ADBE\"/>
    </mc:Choice>
  </mc:AlternateContent>
  <xr:revisionPtr revIDLastSave="0" documentId="8_{BF139011-E5C2-468F-B594-2D7177899561}" xr6:coauthVersionLast="47" xr6:coauthVersionMax="47" xr10:uidLastSave="{00000000-0000-0000-0000-000000000000}"/>
  <bookViews>
    <workbookView xWindow="-120" yWindow="-120" windowWidth="38640" windowHeight="21120" xr2:uid="{99E438D4-C925-4D14-9F55-90B7476FC977}"/>
  </bookViews>
  <sheets>
    <sheet name="IS - ADOBE" sheetId="1" r:id="rId1"/>
    <sheet name="BS - ADOBE" sheetId="2" r:id="rId2"/>
    <sheet name="CF - ADOBE" sheetId="3" r:id="rId3"/>
  </sheets>
  <externalReferences>
    <externalReference r:id="rId4"/>
  </externalReferences>
  <definedNames>
    <definedName name="D">[1]WACC!$D$15</definedName>
    <definedName name="D_perc">[1]WACC!$D$17</definedName>
    <definedName name="E">[1]WACC!$D$14</definedName>
    <definedName name="E_perc">[1]WACC!$D$16</definedName>
    <definedName name="kd">[1]WACC!$D$19</definedName>
    <definedName name="ke">[1]WACC!$D$12</definedName>
    <definedName name="scen">'[1]DCF model'!$E$16</definedName>
    <definedName name="Tax_shield">[1]WACC!$D$18</definedName>
    <definedName name="tgr">'[1]DCF model'!$E$18</definedName>
    <definedName name="wacc">'[1]DCF model'!$E$17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  <c r="D8" i="2"/>
  <c r="D15" i="2" s="1"/>
  <c r="E8" i="2"/>
  <c r="F8" i="2"/>
  <c r="C15" i="2"/>
  <c r="E15" i="2"/>
  <c r="F15" i="2"/>
  <c r="C23" i="2"/>
  <c r="C30" i="2" s="1"/>
  <c r="D23" i="2"/>
  <c r="E23" i="2"/>
  <c r="E30" i="2" s="1"/>
  <c r="F23" i="2"/>
  <c r="F30" i="2" s="1"/>
  <c r="D30" i="2"/>
</calcChain>
</file>

<file path=xl/sharedStrings.xml><?xml version="1.0" encoding="utf-8"?>
<sst xmlns="http://schemas.openxmlformats.org/spreadsheetml/2006/main" count="143" uniqueCount="110">
  <si>
    <t>Cost of revenue</t>
  </si>
  <si>
    <t>  Cost of revenue:</t>
  </si>
  <si>
    <t>Revenue</t>
  </si>
  <si>
    <t>Revenue:</t>
  </si>
  <si>
    <t>Services and other</t>
  </si>
  <si>
    <t>Product</t>
  </si>
  <si>
    <t>Subscription</t>
  </si>
  <si>
    <t>Shares used to compute diluted net income per share (in shares)</t>
  </si>
  <si>
    <t>Diluted net income per share (in usd per share)</t>
  </si>
  <si>
    <t>Shares used to compute basic net income per share (in shares)</t>
  </si>
  <si>
    <t>Basic net income per share (in usd per share)</t>
  </si>
  <si>
    <t>Net income</t>
  </si>
  <si>
    <t>Provision for income taxes</t>
  </si>
  <si>
    <t>Income before income taxes</t>
  </si>
  <si>
    <t>Total non-operating income (expense), net</t>
  </si>
  <si>
    <t>Other income (expense), net</t>
  </si>
  <si>
    <t>Investment gains (losses), net</t>
  </si>
  <si>
    <t>Interest expense</t>
  </si>
  <si>
    <t>  Non-operating income (expense):</t>
  </si>
  <si>
    <t>  Operating income</t>
  </si>
  <si>
    <t>Total operating expenses</t>
  </si>
  <si>
    <t>Amortization of intangibles</t>
  </si>
  <si>
    <t>Acquisition termination fee</t>
  </si>
  <si>
    <t>General and administrative</t>
  </si>
  <si>
    <t>Sales and marketing</t>
  </si>
  <si>
    <t>Research and development</t>
  </si>
  <si>
    <t>  Operating expenses:</t>
  </si>
  <si>
    <t>  Gross profit</t>
  </si>
  <si>
    <t>Nov. 28, 2025</t>
  </si>
  <si>
    <t>Nov. 29, 2024</t>
  </si>
  <si>
    <t>Dec. 01, 2023</t>
  </si>
  <si>
    <t>Dec. 02, 2022</t>
  </si>
  <si>
    <t>Dec. 03, 2021</t>
  </si>
  <si>
    <t>shares in Millions, $ in Millions</t>
  </si>
  <si>
    <t>12 Months Ended</t>
  </si>
  <si>
    <t>Consolidated Statements of Income - USD ($)</t>
  </si>
  <si>
    <t>Total liabilities and stockholders’ equity</t>
  </si>
  <si>
    <t>Total stockholders’ equity</t>
  </si>
  <si>
    <t>Treasury stock, at cost (188 and 160 shares, respectively)</t>
  </si>
  <si>
    <t>Accumulated other comprehensive income (loss)</t>
  </si>
  <si>
    <t>Retained earnings</t>
  </si>
  <si>
    <t>Additional paid-in capital</t>
  </si>
  <si>
    <t>Common stock, $0.0001 par value; 900 shares authorized; 601 shares issued;  413 and 441 shares outstanding, respectively</t>
  </si>
  <si>
    <t>Preferred stock, $0.0001 par value; 2 shares authorized; none issued</t>
  </si>
  <si>
    <t>Stockholders’ equity:</t>
  </si>
  <si>
    <t>Commitments and contingencies</t>
  </si>
  <si>
    <t>Total liabilities</t>
  </si>
  <si>
    <t>Other liabilities</t>
  </si>
  <si>
    <t>Operating lease liabilities</t>
  </si>
  <si>
    <t>Income taxes payable</t>
  </si>
  <si>
    <t>Deferred revenue</t>
  </si>
  <si>
    <t>Debt</t>
  </si>
  <si>
    <t>Long-term liabilities:</t>
  </si>
  <si>
    <t>Total current liabilities</t>
  </si>
  <si>
    <t>Accrued expenses and other current liabilities</t>
  </si>
  <si>
    <t>Trade payables</t>
  </si>
  <si>
    <t>Current liabilities:</t>
  </si>
  <si>
    <t>Total assets</t>
  </si>
  <si>
    <t>Other assets</t>
  </si>
  <si>
    <t>Deferred income taxes</t>
  </si>
  <si>
    <t>Other intangibles, net</t>
  </si>
  <si>
    <t>Goodwill</t>
  </si>
  <si>
    <t>Operating lease right-of-use assets, net</t>
  </si>
  <si>
    <t>Property and equipment, net</t>
  </si>
  <si>
    <t>Total current assets</t>
  </si>
  <si>
    <t>Prepaid expenses and other current assets</t>
  </si>
  <si>
    <t>Trade receivables, net of allowances for doubtful accounts of $13 and of $14, respectively</t>
  </si>
  <si>
    <t>Short-term investments</t>
  </si>
  <si>
    <t>Cash and cash equivalents</t>
  </si>
  <si>
    <t>Current assets:</t>
  </si>
  <si>
    <t>$ in Millions</t>
  </si>
  <si>
    <t>Consolidated Balance Sheets - USD ($)</t>
  </si>
  <si>
    <t>Cash paid for interest</t>
  </si>
  <si>
    <t>Cash paid for income taxes, net of refunds</t>
  </si>
  <si>
    <t>Supplemental disclosures:</t>
  </si>
  <si>
    <t>Cash and cash equivalents at end of year</t>
  </si>
  <si>
    <t>Cash and cash equivalents at beginning of year</t>
  </si>
  <si>
    <t>Net change in cash and cash equivalents</t>
  </si>
  <si>
    <t>Effect of foreign currency exchange rates on cash and cash equivalents</t>
  </si>
  <si>
    <t>Net cash used for financing activities</t>
  </si>
  <si>
    <t>Other financing activities, net</t>
  </si>
  <si>
    <t>Repayment of debt</t>
  </si>
  <si>
    <t>Proceeds from issuance of debt</t>
  </si>
  <si>
    <t>Taxes paid related to net share settlement of equity awards</t>
  </si>
  <si>
    <t>Proceeds from re-issuance of treasury stock</t>
  </si>
  <si>
    <t>Repurchases of common stock</t>
  </si>
  <si>
    <t>Cash flows from financing activities:</t>
  </si>
  <si>
    <t>Net cash provided by (used for) investing activities</t>
  </si>
  <si>
    <t>Other investing activities, net</t>
  </si>
  <si>
    <t>Purchases of long-term investments, intangibles and other assets</t>
  </si>
  <si>
    <t>Purchases of property and equipment</t>
  </si>
  <si>
    <t>Acquisitions, net of cash acquired</t>
  </si>
  <si>
    <t>Proceeds from sales of short-term investments</t>
  </si>
  <si>
    <t>Maturities of short-term investments</t>
  </si>
  <si>
    <t>Purchases of short-term investments</t>
  </si>
  <si>
    <t>Cash flows from investing activities:</t>
  </si>
  <si>
    <t>Net cash provided by operating activities</t>
  </si>
  <si>
    <t>Accrued expenses and other liabilities</t>
  </si>
  <si>
    <t>Prepaid expenses and other assets</t>
  </si>
  <si>
    <t>Trade receivables, net</t>
  </si>
  <si>
    <t>Changes in operating assets and liabilities, net of acquired assets and assumed liabilities:</t>
  </si>
  <si>
    <t>Other non-cash items</t>
  </si>
  <si>
    <t>(4</t>
  </si>
  <si>
    <t>Unrealized losses (gains) on investments, net</t>
  </si>
  <si>
    <t>Lease-related asset impairments</t>
  </si>
  <si>
    <t>Stock-based compensation</t>
  </si>
  <si>
    <t>Depreciation, amortization and accretion</t>
  </si>
  <si>
    <t>Adjustments to reconcile net income to net cash provided by operating activities:</t>
  </si>
  <si>
    <t>Cash flows from operating activities:</t>
  </si>
  <si>
    <t>Consolidated Statements of Cash Flows - USD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</si>
</sst>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AACCFF"/>
        <bgColor indexed="64"/>
      </patternFill>
    </fill>
  </fills>
  <borders count="10">
    <border>
      <left/>
      <right/>
      <top/>
      <bottom/>
      <diagonal/>
    </border>
    <border>
      <left/>
      <right/>
      <top style="thick">
        <color rgb="FFAACCFF"/>
      </top>
      <bottom/>
      <diagonal/>
    </border>
    <border>
      <left/>
      <right/>
      <top/>
      <bottom style="thick">
        <color rgb="FFAACCFF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AACCFF"/>
      </right>
      <top/>
      <bottom style="thick">
        <color rgb="FFAACCFF"/>
      </bottom>
      <diagonal/>
    </border>
    <border>
      <left/>
      <right style="thick">
        <color rgb="FFAACCFF"/>
      </right>
      <top/>
      <bottom style="medium">
        <color rgb="FF000000"/>
      </bottom>
      <diagonal/>
    </border>
    <border>
      <left/>
      <right style="thick">
        <color rgb="FFAACCFF"/>
      </right>
      <top/>
      <bottom/>
      <diagonal/>
    </border>
    <border>
      <left/>
      <right style="thick">
        <color rgb="FFAACCFF"/>
      </right>
      <top style="thick">
        <color rgb="FFAACCFF"/>
      </top>
      <bottom/>
      <diagonal/>
    </border>
    <border>
      <left style="thick">
        <color rgb="FFAACCFF"/>
      </left>
      <right/>
      <top/>
      <bottom/>
      <diagonal/>
    </border>
    <border>
      <left style="thick">
        <color rgb="FFAACCFF"/>
      </left>
      <right/>
      <top style="thick">
        <color rgb="FFAACCFF"/>
      </top>
      <bottom/>
      <diagonal/>
    </border>
  </borders>
  <cellStyleXfs count="2">
    <xf numFmtId="0" fontId="0" fillId="0" borderId="0"/>
    <xf numFmtId="0" fontId="1" fillId="0" borderId="0"/>
  </cellStyleXfs>
  <cellXfs count="72">
    <xf numFmtId="0" fontId="0" fillId="0" borderId="0" xfId="0"/>
    <xf numFmtId="0" fontId="1" fillId="0" borderId="0" xfId="1"/>
    <xf numFmtId="0" fontId="1" fillId="2" borderId="0" xfId="1" applyFill="1" applyAlignment="1">
      <alignment vertical="top"/>
    </xf>
    <xf numFmtId="0" fontId="1" fillId="2" borderId="1" xfId="1" applyFill="1" applyBorder="1" applyAlignment="1">
      <alignment vertical="top"/>
    </xf>
    <xf numFmtId="6" fontId="3" fillId="2" borderId="2" xfId="1" applyNumberFormat="1" applyFont="1" applyFill="1" applyBorder="1" applyAlignment="1">
      <alignment horizontal="right" vertical="center"/>
    </xf>
    <xf numFmtId="6" fontId="3" fillId="3" borderId="2" xfId="1" applyNumberFormat="1" applyFont="1" applyFill="1" applyBorder="1" applyAlignment="1">
      <alignment horizontal="right" vertical="center" indent="2"/>
    </xf>
    <xf numFmtId="0" fontId="3" fillId="3" borderId="0" xfId="1" applyFont="1" applyFill="1" applyAlignment="1">
      <alignment horizontal="left" vertical="center"/>
    </xf>
    <xf numFmtId="0" fontId="3" fillId="2" borderId="0" xfId="1" applyFont="1" applyFill="1" applyAlignment="1">
      <alignment horizontal="right" vertical="center"/>
    </xf>
    <xf numFmtId="0" fontId="3" fillId="2" borderId="0" xfId="1" applyFont="1" applyFill="1" applyAlignment="1">
      <alignment horizontal="right" vertical="center" indent="2"/>
    </xf>
    <xf numFmtId="0" fontId="4" fillId="4" borderId="0" xfId="1" applyFont="1" applyFill="1" applyAlignment="1">
      <alignment horizontal="left" vertical="center"/>
    </xf>
    <xf numFmtId="0" fontId="4" fillId="4" borderId="0" xfId="1" applyFont="1" applyFill="1" applyAlignment="1">
      <alignment horizontal="left" vertical="center" wrapText="1"/>
    </xf>
    <xf numFmtId="0" fontId="3" fillId="3" borderId="0" xfId="1" applyFont="1" applyFill="1" applyAlignment="1">
      <alignment horizontal="right" vertical="center"/>
    </xf>
    <xf numFmtId="0" fontId="3" fillId="2" borderId="0" xfId="1" applyFont="1" applyFill="1" applyAlignment="1">
      <alignment horizontal="left" vertical="center"/>
    </xf>
    <xf numFmtId="0" fontId="3" fillId="3" borderId="0" xfId="1" applyFont="1" applyFill="1" applyAlignment="1">
      <alignment horizontal="right" vertical="center" indent="2"/>
    </xf>
    <xf numFmtId="3" fontId="3" fillId="2" borderId="0" xfId="1" applyNumberFormat="1" applyFont="1" applyFill="1" applyAlignment="1">
      <alignment horizontal="right" vertical="center"/>
    </xf>
    <xf numFmtId="3" fontId="3" fillId="3" borderId="0" xfId="1" applyNumberFormat="1" applyFont="1" applyFill="1" applyAlignment="1">
      <alignment horizontal="right" vertical="center" indent="2"/>
    </xf>
    <xf numFmtId="6" fontId="3" fillId="2" borderId="0" xfId="1" applyNumberFormat="1" applyFont="1" applyFill="1" applyAlignment="1">
      <alignment horizontal="right" vertical="center"/>
    </xf>
    <xf numFmtId="6" fontId="3" fillId="2" borderId="0" xfId="1" applyNumberFormat="1" applyFont="1" applyFill="1" applyAlignment="1">
      <alignment horizontal="right" vertical="center" indent="2"/>
    </xf>
    <xf numFmtId="0" fontId="2" fillId="0" borderId="0" xfId="1" applyFont="1"/>
    <xf numFmtId="8" fontId="3" fillId="2" borderId="0" xfId="1" applyNumberFormat="1" applyFont="1" applyFill="1" applyAlignment="1">
      <alignment horizontal="right" vertical="center"/>
    </xf>
    <xf numFmtId="8" fontId="3" fillId="3" borderId="0" xfId="1" applyNumberFormat="1" applyFont="1" applyFill="1" applyAlignment="1">
      <alignment horizontal="right" vertical="center" indent="2"/>
    </xf>
    <xf numFmtId="6" fontId="3" fillId="3" borderId="3" xfId="1" applyNumberFormat="1" applyFont="1" applyFill="1" applyBorder="1" applyAlignment="1">
      <alignment horizontal="right" vertical="center"/>
    </xf>
    <xf numFmtId="6" fontId="3" fillId="2" borderId="3" xfId="1" applyNumberFormat="1" applyFont="1" applyFill="1" applyBorder="1" applyAlignment="1">
      <alignment horizontal="right" vertical="center" indent="2"/>
    </xf>
    <xf numFmtId="3" fontId="3" fillId="3" borderId="3" xfId="1" applyNumberFormat="1" applyFont="1" applyFill="1" applyBorder="1" applyAlignment="1">
      <alignment horizontal="right" vertical="center"/>
    </xf>
    <xf numFmtId="3" fontId="3" fillId="2" borderId="0" xfId="1" applyNumberFormat="1" applyFont="1" applyFill="1" applyAlignment="1">
      <alignment horizontal="right" vertical="center" indent="2"/>
    </xf>
    <xf numFmtId="0" fontId="3" fillId="2" borderId="3" xfId="1" applyFont="1" applyFill="1" applyBorder="1" applyAlignment="1">
      <alignment horizontal="right" vertical="center"/>
    </xf>
    <xf numFmtId="0" fontId="3" fillId="3" borderId="3" xfId="1" applyFont="1" applyFill="1" applyBorder="1" applyAlignment="1">
      <alignment horizontal="right" vertical="center"/>
    </xf>
    <xf numFmtId="0" fontId="3" fillId="3" borderId="0" xfId="1" applyFont="1" applyFill="1" applyAlignment="1">
      <alignment horizontal="left" vertical="center" wrapText="1"/>
    </xf>
    <xf numFmtId="3" fontId="3" fillId="2" borderId="3" xfId="1" applyNumberFormat="1" applyFont="1" applyFill="1" applyBorder="1" applyAlignment="1">
      <alignment horizontal="right" vertical="center" indent="2"/>
    </xf>
    <xf numFmtId="3" fontId="3" fillId="2" borderId="3" xfId="1" applyNumberFormat="1" applyFont="1" applyFill="1" applyBorder="1" applyAlignment="1">
      <alignment horizontal="right" vertical="center"/>
    </xf>
    <xf numFmtId="3" fontId="3" fillId="3" borderId="3" xfId="1" applyNumberFormat="1" applyFont="1" applyFill="1" applyBorder="1" applyAlignment="1">
      <alignment horizontal="right" vertical="center" indent="2"/>
    </xf>
    <xf numFmtId="3" fontId="3" fillId="3" borderId="0" xfId="1" applyNumberFormat="1" applyFont="1" applyFill="1" applyAlignment="1">
      <alignment horizontal="right" vertical="center"/>
    </xf>
    <xf numFmtId="0" fontId="3" fillId="2" borderId="0" xfId="1" applyFont="1" applyFill="1" applyAlignment="1">
      <alignment horizontal="left" vertical="center" wrapText="1"/>
    </xf>
    <xf numFmtId="3" fontId="1" fillId="0" borderId="0" xfId="1" applyNumberFormat="1"/>
    <xf numFmtId="6" fontId="3" fillId="3" borderId="0" xfId="1" applyNumberFormat="1" applyFont="1" applyFill="1" applyAlignment="1">
      <alignment horizontal="right" vertical="center" indent="2"/>
    </xf>
    <xf numFmtId="0" fontId="4" fillId="4" borderId="0" xfId="1" applyFont="1" applyFill="1" applyAlignment="1">
      <alignment horizontal="center" vertical="center"/>
    </xf>
    <xf numFmtId="0" fontId="4" fillId="4" borderId="0" xfId="1" applyFont="1" applyFill="1" applyAlignment="1">
      <alignment horizontal="center" vertical="center" wrapText="1"/>
    </xf>
    <xf numFmtId="0" fontId="4" fillId="4" borderId="0" xfId="1" applyFont="1" applyFill="1" applyAlignment="1">
      <alignment horizontal="center" vertical="center"/>
    </xf>
    <xf numFmtId="0" fontId="1" fillId="2" borderId="0" xfId="1" applyFill="1" applyAlignment="1">
      <alignment vertical="top" wrapText="1"/>
    </xf>
    <xf numFmtId="0" fontId="1" fillId="2" borderId="0" xfId="1" applyFill="1" applyAlignment="1">
      <alignment vertical="top" wrapText="1"/>
    </xf>
    <xf numFmtId="0" fontId="1" fillId="2" borderId="1" xfId="1" applyFill="1" applyBorder="1" applyAlignment="1">
      <alignment vertical="top" wrapText="1"/>
    </xf>
    <xf numFmtId="0" fontId="1" fillId="2" borderId="1" xfId="1" applyFill="1" applyBorder="1" applyAlignment="1">
      <alignment vertical="top" wrapText="1"/>
    </xf>
    <xf numFmtId="6" fontId="3" fillId="2" borderId="4" xfId="1" applyNumberFormat="1" applyFont="1" applyFill="1" applyBorder="1" applyAlignment="1">
      <alignment horizontal="right" vertical="center"/>
    </xf>
    <xf numFmtId="6" fontId="3" fillId="2" borderId="2" xfId="1" applyNumberFormat="1" applyFont="1" applyFill="1" applyBorder="1" applyAlignment="1">
      <alignment horizontal="right" vertical="center" indent="2"/>
    </xf>
    <xf numFmtId="3" fontId="3" fillId="3" borderId="5" xfId="1" applyNumberFormat="1" applyFont="1" applyFill="1" applyBorder="1" applyAlignment="1">
      <alignment horizontal="right" vertical="center"/>
    </xf>
    <xf numFmtId="3" fontId="3" fillId="2" borderId="6" xfId="1" applyNumberFormat="1" applyFont="1" applyFill="1" applyBorder="1" applyAlignment="1">
      <alignment horizontal="right" vertical="center"/>
    </xf>
    <xf numFmtId="0" fontId="3" fillId="3" borderId="6" xfId="1" applyFont="1" applyFill="1" applyBorder="1" applyAlignment="1">
      <alignment horizontal="right" vertical="center"/>
    </xf>
    <xf numFmtId="3" fontId="3" fillId="3" borderId="6" xfId="1" applyNumberFormat="1" applyFont="1" applyFill="1" applyBorder="1" applyAlignment="1">
      <alignment horizontal="right" vertical="center"/>
    </xf>
    <xf numFmtId="0" fontId="3" fillId="2" borderId="6" xfId="1" applyFont="1" applyFill="1" applyBorder="1" applyAlignment="1">
      <alignment horizontal="right" vertical="center"/>
    </xf>
    <xf numFmtId="0" fontId="3" fillId="2" borderId="6" xfId="1" applyFont="1" applyFill="1" applyBorder="1" applyAlignment="1">
      <alignment horizontal="left" vertical="center"/>
    </xf>
    <xf numFmtId="0" fontId="3" fillId="3" borderId="6" xfId="1" applyFont="1" applyFill="1" applyBorder="1" applyAlignment="1">
      <alignment horizontal="left" vertical="center"/>
    </xf>
    <xf numFmtId="6" fontId="3" fillId="2" borderId="6" xfId="1" applyNumberFormat="1" applyFont="1" applyFill="1" applyBorder="1" applyAlignment="1">
      <alignment horizontal="right" vertical="center"/>
    </xf>
    <xf numFmtId="0" fontId="4" fillId="4" borderId="1" xfId="1" applyFont="1" applyFill="1" applyBorder="1" applyAlignment="1">
      <alignment horizontal="center"/>
    </xf>
    <xf numFmtId="0" fontId="4" fillId="4" borderId="7" xfId="1" applyFont="1" applyFill="1" applyBorder="1"/>
    <xf numFmtId="0" fontId="4" fillId="4" borderId="0" xfId="1" applyFont="1" applyFill="1"/>
    <xf numFmtId="0" fontId="4" fillId="4" borderId="0" xfId="1" applyFont="1" applyFill="1" applyAlignment="1">
      <alignment wrapText="1"/>
    </xf>
    <xf numFmtId="0" fontId="4" fillId="4" borderId="8" xfId="1" applyFont="1" applyFill="1" applyBorder="1" applyAlignment="1">
      <alignment horizontal="center" vertical="center"/>
    </xf>
    <xf numFmtId="0" fontId="4" fillId="4" borderId="9" xfId="1" applyFont="1" applyFill="1" applyBorder="1" applyAlignment="1">
      <alignment horizontal="center" vertical="center"/>
    </xf>
    <xf numFmtId="6" fontId="3" fillId="2" borderId="2" xfId="1" applyNumberFormat="1" applyFont="1" applyFill="1" applyBorder="1" applyAlignment="1">
      <alignment horizontal="right" vertical="top"/>
    </xf>
    <xf numFmtId="3" fontId="3" fillId="3" borderId="0" xfId="1" applyNumberFormat="1" applyFont="1" applyFill="1" applyAlignment="1">
      <alignment horizontal="right" vertical="top"/>
    </xf>
    <xf numFmtId="0" fontId="3" fillId="3" borderId="0" xfId="1" applyFont="1" applyFill="1" applyAlignment="1">
      <alignment horizontal="right" vertical="top"/>
    </xf>
    <xf numFmtId="0" fontId="3" fillId="2" borderId="0" xfId="1" applyFont="1" applyFill="1" applyAlignment="1">
      <alignment horizontal="right" vertical="top"/>
    </xf>
    <xf numFmtId="0" fontId="3" fillId="2" borderId="0" xfId="1" applyFont="1" applyFill="1" applyAlignment="1">
      <alignment horizontal="right" vertical="top" wrapText="1"/>
    </xf>
    <xf numFmtId="3" fontId="3" fillId="2" borderId="0" xfId="1" applyNumberFormat="1" applyFont="1" applyFill="1" applyAlignment="1">
      <alignment horizontal="right" vertical="top"/>
    </xf>
    <xf numFmtId="3" fontId="3" fillId="3" borderId="3" xfId="1" applyNumberFormat="1" applyFont="1" applyFill="1" applyBorder="1" applyAlignment="1">
      <alignment horizontal="right" vertical="top"/>
    </xf>
    <xf numFmtId="0" fontId="3" fillId="3" borderId="3" xfId="1" applyFont="1" applyFill="1" applyBorder="1" applyAlignment="1">
      <alignment horizontal="right" vertical="top"/>
    </xf>
    <xf numFmtId="0" fontId="1" fillId="0" borderId="0" xfId="1" applyAlignment="1">
      <alignment horizontal="right" vertical="top"/>
    </xf>
    <xf numFmtId="0" fontId="3" fillId="2" borderId="3" xfId="1" applyFont="1" applyFill="1" applyBorder="1" applyAlignment="1">
      <alignment horizontal="right" vertical="top"/>
    </xf>
    <xf numFmtId="3" fontId="3" fillId="2" borderId="3" xfId="1" applyNumberFormat="1" applyFont="1" applyFill="1" applyBorder="1" applyAlignment="1">
      <alignment horizontal="right" vertical="top"/>
    </xf>
    <xf numFmtId="0" fontId="3" fillId="3" borderId="0" xfId="1" applyFont="1" applyFill="1" applyAlignment="1">
      <alignment horizontal="right" vertical="top" wrapText="1"/>
    </xf>
    <xf numFmtId="6" fontId="3" fillId="2" borderId="0" xfId="1" applyNumberFormat="1" applyFont="1" applyFill="1" applyAlignment="1">
      <alignment horizontal="right" vertical="top"/>
    </xf>
    <xf numFmtId="0" fontId="4" fillId="4" borderId="0" xfId="1" applyFont="1" applyFill="1" applyAlignment="1">
      <alignment vertical="center"/>
    </xf>
  </cellXfs>
  <cellStyles count="2">
    <cellStyle name="Normal" xfId="0" builtinId="0"/>
    <cellStyle name="Normal 2" xfId="1" xr:uid="{6BF73954-1F45-44F5-B5A8-E2EC9A72CC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My%20Drive\CAREER\STOCK%20RESEARCH\ADBE\ADBE%20-%20DCF.xlsx" TargetMode="External"/><Relationship Id="rId1" Type="http://schemas.openxmlformats.org/officeDocument/2006/relationships/externalLinkPath" Target="ADBE%20-%20DC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ation"/>
      <sheetName val="Scenarios"/>
      <sheetName val="DCF model"/>
      <sheetName val="Comps"/>
      <sheetName val="INPUT&gt;&gt;&gt;"/>
      <sheetName val="WACC"/>
      <sheetName val="SUMMARY&gt;&gt;&gt;"/>
      <sheetName val="52 week share price"/>
      <sheetName val="Summary"/>
      <sheetName val="Model Summary"/>
    </sheetNames>
    <sheetDataSet>
      <sheetData sheetId="0"/>
      <sheetData sheetId="1"/>
      <sheetData sheetId="2">
        <row r="16">
          <cell r="E16">
            <v>1</v>
          </cell>
        </row>
        <row r="17">
          <cell r="E17">
            <v>0.1028051459393808</v>
          </cell>
        </row>
        <row r="18">
          <cell r="E18">
            <v>2.5000000000000001E-2</v>
          </cell>
        </row>
      </sheetData>
      <sheetData sheetId="3"/>
      <sheetData sheetId="4"/>
      <sheetData sheetId="5">
        <row r="12">
          <cell r="D12">
            <v>0.1066</v>
          </cell>
        </row>
        <row r="14">
          <cell r="D14">
            <v>112411</v>
          </cell>
        </row>
        <row r="15">
          <cell r="D15">
            <v>6210</v>
          </cell>
        </row>
        <row r="16">
          <cell r="D16">
            <v>0.94764839278036772</v>
          </cell>
        </row>
        <row r="17">
          <cell r="D17">
            <v>5.2351607219632272E-2</v>
          </cell>
        </row>
        <row r="18">
          <cell r="D18">
            <v>0.80546242005813284</v>
          </cell>
        </row>
        <row r="19">
          <cell r="D19">
            <v>4.2351046698872782E-2</v>
          </cell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ED147-3BB0-4619-866D-AD255ED863E4}">
  <dimension ref="A1:H44"/>
  <sheetViews>
    <sheetView showGridLines="0" tabSelected="1" zoomScale="120" zoomScaleNormal="120" workbookViewId="0">
      <selection activeCell="J17" sqref="J17"/>
    </sheetView>
  </sheetViews>
  <sheetFormatPr defaultRowHeight="15" x14ac:dyDescent="0.25"/>
  <cols>
    <col min="1" max="1" width="59.140625" style="1" bestFit="1" customWidth="1"/>
    <col min="2" max="2" width="13.5703125" style="1" customWidth="1"/>
    <col min="3" max="3" width="15.85546875" style="1" customWidth="1"/>
    <col min="4" max="5" width="10.7109375" style="1" bestFit="1" customWidth="1"/>
    <col min="6" max="6" width="14.5703125" style="1" bestFit="1" customWidth="1"/>
    <col min="7" max="16384" width="9.140625" style="1"/>
  </cols>
  <sheetData>
    <row r="1" spans="1:8" ht="15.75" customHeight="1" x14ac:dyDescent="0.25">
      <c r="A1" s="35" t="s">
        <v>35</v>
      </c>
      <c r="B1" s="37" t="s">
        <v>34</v>
      </c>
      <c r="C1" s="37"/>
      <c r="D1" s="37"/>
      <c r="E1" s="37"/>
      <c r="F1" s="37"/>
    </row>
    <row r="2" spans="1:8" ht="24" customHeight="1" x14ac:dyDescent="0.25">
      <c r="A2" s="35" t="s">
        <v>33</v>
      </c>
      <c r="B2" s="36" t="s">
        <v>32</v>
      </c>
      <c r="C2" s="36" t="s">
        <v>31</v>
      </c>
      <c r="D2" s="35" t="s">
        <v>30</v>
      </c>
      <c r="E2" s="35" t="s">
        <v>29</v>
      </c>
      <c r="F2" s="35" t="s">
        <v>28</v>
      </c>
    </row>
    <row r="3" spans="1:8" x14ac:dyDescent="0.25">
      <c r="A3" s="18" t="s">
        <v>3</v>
      </c>
      <c r="D3" s="6"/>
      <c r="E3" s="6"/>
      <c r="F3" s="6"/>
    </row>
    <row r="4" spans="1:8" x14ac:dyDescent="0.25">
      <c r="A4" s="1" t="s">
        <v>2</v>
      </c>
      <c r="B4" s="34">
        <v>15785</v>
      </c>
      <c r="C4" s="34">
        <v>17606</v>
      </c>
      <c r="D4" s="16">
        <v>19409</v>
      </c>
      <c r="E4" s="16">
        <v>21505</v>
      </c>
      <c r="F4" s="16">
        <v>23769</v>
      </c>
    </row>
    <row r="5" spans="1:8" x14ac:dyDescent="0.25">
      <c r="A5" s="18" t="s">
        <v>1</v>
      </c>
      <c r="D5" s="6"/>
      <c r="E5" s="6"/>
      <c r="F5" s="6"/>
    </row>
    <row r="6" spans="1:8" x14ac:dyDescent="0.25">
      <c r="A6" s="1" t="s">
        <v>0</v>
      </c>
      <c r="B6" s="24">
        <v>1865</v>
      </c>
      <c r="C6" s="24">
        <v>2165</v>
      </c>
      <c r="D6" s="14">
        <v>2354</v>
      </c>
      <c r="E6" s="14">
        <v>2358</v>
      </c>
      <c r="F6" s="14">
        <v>2551</v>
      </c>
    </row>
    <row r="7" spans="1:8" ht="15.75" thickBot="1" x14ac:dyDescent="0.3">
      <c r="A7" s="1" t="s">
        <v>27</v>
      </c>
      <c r="B7" s="30">
        <v>13920</v>
      </c>
      <c r="C7" s="30">
        <v>15441</v>
      </c>
      <c r="D7" s="23">
        <v>17055</v>
      </c>
      <c r="E7" s="23">
        <v>19147</v>
      </c>
      <c r="F7" s="23">
        <v>21218</v>
      </c>
      <c r="H7" s="33"/>
    </row>
    <row r="8" spans="1:8" x14ac:dyDescent="0.25">
      <c r="A8" s="18" t="s">
        <v>26</v>
      </c>
      <c r="B8" s="32"/>
      <c r="C8" s="32"/>
      <c r="D8" s="12"/>
      <c r="E8" s="12"/>
      <c r="F8" s="12"/>
    </row>
    <row r="9" spans="1:8" x14ac:dyDescent="0.25">
      <c r="A9" s="1" t="s">
        <v>25</v>
      </c>
      <c r="B9" s="15">
        <v>2540</v>
      </c>
      <c r="C9" s="15">
        <v>2987</v>
      </c>
      <c r="D9" s="31">
        <v>3473</v>
      </c>
      <c r="E9" s="31">
        <v>3944</v>
      </c>
      <c r="F9" s="31">
        <v>4294</v>
      </c>
    </row>
    <row r="10" spans="1:8" x14ac:dyDescent="0.25">
      <c r="A10" s="1" t="s">
        <v>24</v>
      </c>
      <c r="B10" s="24">
        <v>4321</v>
      </c>
      <c r="C10" s="24">
        <v>4968</v>
      </c>
      <c r="D10" s="14">
        <v>5351</v>
      </c>
      <c r="E10" s="14">
        <v>5764</v>
      </c>
      <c r="F10" s="14">
        <v>6488</v>
      </c>
    </row>
    <row r="11" spans="1:8" x14ac:dyDescent="0.25">
      <c r="A11" s="1" t="s">
        <v>23</v>
      </c>
      <c r="B11" s="15">
        <v>1085</v>
      </c>
      <c r="C11" s="15">
        <v>1219</v>
      </c>
      <c r="D11" s="31">
        <v>1413</v>
      </c>
      <c r="E11" s="31">
        <v>1529</v>
      </c>
      <c r="F11" s="31">
        <v>1573</v>
      </c>
    </row>
    <row r="12" spans="1:8" x14ac:dyDescent="0.25">
      <c r="A12" s="1" t="s">
        <v>22</v>
      </c>
      <c r="D12" s="7">
        <v>0</v>
      </c>
      <c r="E12" s="14">
        <v>1000</v>
      </c>
      <c r="F12" s="7">
        <v>0</v>
      </c>
    </row>
    <row r="13" spans="1:8" x14ac:dyDescent="0.25">
      <c r="A13" s="1" t="s">
        <v>21</v>
      </c>
      <c r="B13" s="8">
        <v>172</v>
      </c>
      <c r="C13" s="8">
        <v>169</v>
      </c>
      <c r="D13" s="11">
        <v>168</v>
      </c>
      <c r="E13" s="11">
        <v>169</v>
      </c>
      <c r="F13" s="11">
        <v>157</v>
      </c>
    </row>
    <row r="14" spans="1:8" ht="15.75" thickBot="1" x14ac:dyDescent="0.3">
      <c r="A14" s="1" t="s">
        <v>20</v>
      </c>
      <c r="B14" s="30">
        <v>8118</v>
      </c>
      <c r="C14" s="30">
        <v>9343</v>
      </c>
      <c r="D14" s="29">
        <v>10405</v>
      </c>
      <c r="E14" s="29">
        <v>12406</v>
      </c>
      <c r="F14" s="29">
        <v>12512</v>
      </c>
    </row>
    <row r="15" spans="1:8" ht="15.75" thickBot="1" x14ac:dyDescent="0.3">
      <c r="A15" s="1" t="s">
        <v>19</v>
      </c>
      <c r="B15" s="28">
        <v>5802</v>
      </c>
      <c r="C15" s="28">
        <v>6098</v>
      </c>
      <c r="D15" s="23">
        <v>6650</v>
      </c>
      <c r="E15" s="23">
        <v>6741</v>
      </c>
      <c r="F15" s="23">
        <v>8706</v>
      </c>
    </row>
    <row r="16" spans="1:8" x14ac:dyDescent="0.25">
      <c r="A16" s="18" t="s">
        <v>18</v>
      </c>
      <c r="B16" s="27"/>
      <c r="C16" s="27"/>
      <c r="D16" s="12"/>
      <c r="E16" s="12"/>
      <c r="F16" s="12"/>
    </row>
    <row r="17" spans="1:6" x14ac:dyDescent="0.25">
      <c r="A17" s="1" t="s">
        <v>17</v>
      </c>
      <c r="B17" s="7">
        <v>-113</v>
      </c>
      <c r="C17" s="7">
        <v>-112</v>
      </c>
      <c r="D17" s="11">
        <v>-113</v>
      </c>
      <c r="E17" s="11">
        <v>-169</v>
      </c>
      <c r="F17" s="11">
        <v>-263</v>
      </c>
    </row>
    <row r="18" spans="1:6" x14ac:dyDescent="0.25">
      <c r="A18" s="1" t="s">
        <v>16</v>
      </c>
      <c r="B18" s="13">
        <v>16</v>
      </c>
      <c r="C18" s="11">
        <v>-19</v>
      </c>
      <c r="D18" s="7">
        <v>16</v>
      </c>
      <c r="E18" s="7">
        <v>48</v>
      </c>
      <c r="F18" s="7">
        <v>43</v>
      </c>
    </row>
    <row r="19" spans="1:6" x14ac:dyDescent="0.25">
      <c r="A19" s="1" t="s">
        <v>15</v>
      </c>
      <c r="B19" s="8">
        <v>0</v>
      </c>
      <c r="C19" s="8">
        <v>41</v>
      </c>
      <c r="D19" s="11">
        <v>246</v>
      </c>
      <c r="E19" s="11">
        <v>311</v>
      </c>
      <c r="F19" s="11">
        <v>248</v>
      </c>
    </row>
    <row r="20" spans="1:6" ht="15.75" thickBot="1" x14ac:dyDescent="0.3">
      <c r="A20" s="1" t="s">
        <v>14</v>
      </c>
      <c r="B20" s="26">
        <v>-97</v>
      </c>
      <c r="C20" s="26">
        <v>-90</v>
      </c>
      <c r="D20" s="25">
        <v>149</v>
      </c>
      <c r="E20" s="25">
        <v>190</v>
      </c>
      <c r="F20" s="25">
        <v>28</v>
      </c>
    </row>
    <row r="21" spans="1:6" ht="15.75" thickBot="1" x14ac:dyDescent="0.3">
      <c r="A21" s="1" t="s">
        <v>13</v>
      </c>
      <c r="B21" s="24">
        <v>5705</v>
      </c>
      <c r="C21" s="24">
        <v>6008</v>
      </c>
      <c r="D21" s="23">
        <v>6799</v>
      </c>
      <c r="E21" s="23">
        <v>6931</v>
      </c>
      <c r="F21" s="23">
        <v>8734</v>
      </c>
    </row>
    <row r="22" spans="1:6" x14ac:dyDescent="0.25">
      <c r="A22" s="1" t="s">
        <v>12</v>
      </c>
      <c r="B22" s="13">
        <v>883</v>
      </c>
      <c r="C22" s="15">
        <v>1252</v>
      </c>
      <c r="D22" s="14">
        <v>1371</v>
      </c>
      <c r="E22" s="14">
        <v>1371</v>
      </c>
      <c r="F22" s="14">
        <v>1604</v>
      </c>
    </row>
    <row r="23" spans="1:6" ht="15.75" thickBot="1" x14ac:dyDescent="0.3">
      <c r="A23" s="1" t="s">
        <v>11</v>
      </c>
      <c r="B23" s="22">
        <v>4822</v>
      </c>
      <c r="C23" s="22">
        <v>4756</v>
      </c>
      <c r="D23" s="21">
        <v>5428</v>
      </c>
      <c r="E23" s="21">
        <v>5560</v>
      </c>
      <c r="F23" s="21">
        <v>7130</v>
      </c>
    </row>
    <row r="24" spans="1:6" x14ac:dyDescent="0.25">
      <c r="A24" s="1" t="s">
        <v>10</v>
      </c>
      <c r="B24" s="20">
        <v>10.1</v>
      </c>
      <c r="C24" s="20">
        <v>10.130000000000001</v>
      </c>
      <c r="D24" s="19">
        <v>11.87</v>
      </c>
      <c r="E24" s="19">
        <v>12.43</v>
      </c>
      <c r="F24" s="19">
        <v>16.73</v>
      </c>
    </row>
    <row r="25" spans="1:6" x14ac:dyDescent="0.25">
      <c r="A25" s="1" t="s">
        <v>9</v>
      </c>
      <c r="B25" s="8">
        <v>477.3</v>
      </c>
      <c r="C25" s="8">
        <v>469.5</v>
      </c>
      <c r="D25" s="11">
        <v>457.1</v>
      </c>
      <c r="E25" s="11">
        <v>447.1</v>
      </c>
      <c r="F25" s="11">
        <v>426.2</v>
      </c>
    </row>
    <row r="26" spans="1:6" x14ac:dyDescent="0.25">
      <c r="A26" s="1" t="s">
        <v>8</v>
      </c>
      <c r="B26" s="20">
        <v>10.02</v>
      </c>
      <c r="C26" s="20">
        <v>10.1</v>
      </c>
      <c r="D26" s="19">
        <v>11.82</v>
      </c>
      <c r="E26" s="19">
        <v>12.36</v>
      </c>
      <c r="F26" s="19">
        <v>16.7</v>
      </c>
    </row>
    <row r="27" spans="1:6" x14ac:dyDescent="0.25">
      <c r="A27" s="1" t="s">
        <v>7</v>
      </c>
      <c r="B27" s="8">
        <v>481</v>
      </c>
      <c r="C27" s="8">
        <v>470.9</v>
      </c>
      <c r="D27" s="11">
        <v>459.1</v>
      </c>
      <c r="E27" s="11">
        <v>449.7</v>
      </c>
      <c r="F27" s="11">
        <v>427</v>
      </c>
    </row>
    <row r="28" spans="1:6" s="18" customFormat="1" x14ac:dyDescent="0.25">
      <c r="A28" s="18" t="s">
        <v>6</v>
      </c>
      <c r="B28" s="10"/>
      <c r="C28" s="10"/>
      <c r="D28" s="9"/>
      <c r="E28" s="9"/>
      <c r="F28" s="9"/>
    </row>
    <row r="29" spans="1:6" x14ac:dyDescent="0.25">
      <c r="A29" s="1" t="s">
        <v>3</v>
      </c>
      <c r="D29" s="6"/>
      <c r="E29" s="6"/>
      <c r="F29" s="6"/>
    </row>
    <row r="30" spans="1:6" x14ac:dyDescent="0.25">
      <c r="A30" s="1" t="s">
        <v>2</v>
      </c>
      <c r="B30" s="17">
        <v>14573</v>
      </c>
      <c r="C30" s="17">
        <v>16388</v>
      </c>
      <c r="D30" s="16">
        <v>18284</v>
      </c>
      <c r="E30" s="16">
        <v>20521</v>
      </c>
      <c r="F30" s="16">
        <v>22904</v>
      </c>
    </row>
    <row r="31" spans="1:6" x14ac:dyDescent="0.25">
      <c r="A31" s="1" t="s">
        <v>1</v>
      </c>
      <c r="D31" s="6"/>
      <c r="E31" s="6"/>
      <c r="F31" s="6"/>
    </row>
    <row r="32" spans="1:6" x14ac:dyDescent="0.25">
      <c r="A32" s="1" t="s">
        <v>0</v>
      </c>
      <c r="B32" s="15">
        <v>1374</v>
      </c>
      <c r="C32" s="15">
        <v>1646</v>
      </c>
      <c r="D32" s="14">
        <v>1822</v>
      </c>
      <c r="E32" s="14">
        <v>1799</v>
      </c>
      <c r="F32" s="14">
        <v>2027</v>
      </c>
    </row>
    <row r="33" spans="1:6" x14ac:dyDescent="0.25">
      <c r="A33" s="1" t="s">
        <v>5</v>
      </c>
      <c r="B33" s="10"/>
      <c r="C33" s="10"/>
      <c r="D33" s="9"/>
      <c r="E33" s="9"/>
      <c r="F33" s="9"/>
    </row>
    <row r="34" spans="1:6" x14ac:dyDescent="0.25">
      <c r="A34" s="1" t="s">
        <v>3</v>
      </c>
      <c r="D34" s="12"/>
      <c r="E34" s="12"/>
      <c r="F34" s="12"/>
    </row>
    <row r="35" spans="1:6" x14ac:dyDescent="0.25">
      <c r="A35" s="1" t="s">
        <v>2</v>
      </c>
      <c r="B35" s="13">
        <v>555</v>
      </c>
      <c r="C35" s="13">
        <v>532</v>
      </c>
      <c r="D35" s="11">
        <v>460</v>
      </c>
      <c r="E35" s="11">
        <v>386</v>
      </c>
      <c r="F35" s="11">
        <v>325</v>
      </c>
    </row>
    <row r="36" spans="1:6" x14ac:dyDescent="0.25">
      <c r="A36" s="1" t="s">
        <v>1</v>
      </c>
      <c r="D36" s="12"/>
      <c r="E36" s="12"/>
      <c r="F36" s="12"/>
    </row>
    <row r="37" spans="1:6" x14ac:dyDescent="0.25">
      <c r="A37" s="1" t="s">
        <v>0</v>
      </c>
      <c r="B37" s="8">
        <v>41</v>
      </c>
      <c r="C37" s="8">
        <v>35</v>
      </c>
      <c r="D37" s="11">
        <v>29</v>
      </c>
      <c r="E37" s="11">
        <v>25</v>
      </c>
      <c r="F37" s="11">
        <v>23</v>
      </c>
    </row>
    <row r="38" spans="1:6" x14ac:dyDescent="0.25">
      <c r="A38" s="1" t="s">
        <v>4</v>
      </c>
      <c r="B38" s="10"/>
      <c r="C38" s="10"/>
      <c r="D38" s="9"/>
      <c r="E38" s="9"/>
      <c r="F38" s="9"/>
    </row>
    <row r="39" spans="1:6" x14ac:dyDescent="0.25">
      <c r="A39" s="1" t="s">
        <v>3</v>
      </c>
      <c r="D39" s="6"/>
      <c r="E39" s="6"/>
      <c r="F39" s="6"/>
    </row>
    <row r="40" spans="1:6" x14ac:dyDescent="0.25">
      <c r="A40" s="1" t="s">
        <v>2</v>
      </c>
      <c r="B40" s="8">
        <v>657</v>
      </c>
      <c r="C40" s="8">
        <v>686</v>
      </c>
      <c r="D40" s="7">
        <v>665</v>
      </c>
      <c r="E40" s="7">
        <v>598</v>
      </c>
      <c r="F40" s="7">
        <v>540</v>
      </c>
    </row>
    <row r="41" spans="1:6" x14ac:dyDescent="0.25">
      <c r="A41" s="1" t="s">
        <v>1</v>
      </c>
      <c r="D41" s="6"/>
      <c r="E41" s="6"/>
      <c r="F41" s="6"/>
    </row>
    <row r="42" spans="1:6" ht="15.75" thickBot="1" x14ac:dyDescent="0.3">
      <c r="A42" s="1" t="s">
        <v>0</v>
      </c>
      <c r="B42" s="5">
        <v>450</v>
      </c>
      <c r="C42" s="5">
        <v>484</v>
      </c>
      <c r="D42" s="4">
        <v>503</v>
      </c>
      <c r="E42" s="4">
        <v>534</v>
      </c>
      <c r="F42" s="4">
        <v>501</v>
      </c>
    </row>
    <row r="43" spans="1:6" ht="15.75" thickTop="1" x14ac:dyDescent="0.25">
      <c r="A43" s="3"/>
      <c r="D43" s="3"/>
      <c r="E43" s="3"/>
      <c r="F43" s="3"/>
    </row>
    <row r="44" spans="1:6" x14ac:dyDescent="0.25">
      <c r="A44" s="2"/>
      <c r="D44" s="2"/>
      <c r="E44" s="2"/>
      <c r="F44" s="2"/>
    </row>
  </sheetData>
  <mergeCells count="1">
    <mergeCell ref="B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6FA84-DE1B-4505-93DD-9B16B4630ECC}">
  <dimension ref="A1:F42"/>
  <sheetViews>
    <sheetView showGridLines="0" zoomScale="120" zoomScaleNormal="120" workbookViewId="0">
      <selection activeCell="J17" sqref="J17"/>
    </sheetView>
  </sheetViews>
  <sheetFormatPr defaultRowHeight="15" x14ac:dyDescent="0.25"/>
  <cols>
    <col min="1" max="1" width="111.140625" style="1" bestFit="1" customWidth="1"/>
    <col min="2" max="2" width="12.85546875" style="1" customWidth="1"/>
    <col min="3" max="3" width="12.7109375" style="1" customWidth="1"/>
    <col min="4" max="6" width="10.7109375" style="1" bestFit="1" customWidth="1"/>
    <col min="7" max="16384" width="9.140625" style="1"/>
  </cols>
  <sheetData>
    <row r="1" spans="1:6" ht="16.5" thickTop="1" thickBot="1" x14ac:dyDescent="0.3">
      <c r="A1" s="57" t="s">
        <v>71</v>
      </c>
      <c r="B1" s="55" t="s">
        <v>32</v>
      </c>
      <c r="C1" s="54" t="s">
        <v>31</v>
      </c>
      <c r="D1" s="54" t="s">
        <v>30</v>
      </c>
      <c r="E1" s="53" t="s">
        <v>29</v>
      </c>
      <c r="F1" s="52" t="s">
        <v>28</v>
      </c>
    </row>
    <row r="2" spans="1:6" ht="15.75" thickTop="1" x14ac:dyDescent="0.25">
      <c r="A2" s="56" t="s">
        <v>70</v>
      </c>
      <c r="B2" s="55"/>
      <c r="C2" s="54"/>
      <c r="D2" s="54"/>
      <c r="E2" s="53"/>
      <c r="F2" s="52"/>
    </row>
    <row r="3" spans="1:6" x14ac:dyDescent="0.25">
      <c r="A3" s="18" t="s">
        <v>69</v>
      </c>
      <c r="B3" s="27"/>
      <c r="C3" s="6"/>
      <c r="D3" s="6"/>
      <c r="E3" s="50"/>
      <c r="F3" s="6"/>
    </row>
    <row r="4" spans="1:6" x14ac:dyDescent="0.25">
      <c r="A4" s="1" t="s">
        <v>68</v>
      </c>
      <c r="B4" s="17">
        <v>3844</v>
      </c>
      <c r="C4" s="16">
        <v>4236</v>
      </c>
      <c r="D4" s="16">
        <v>7141</v>
      </c>
      <c r="E4" s="51">
        <v>7613</v>
      </c>
      <c r="F4" s="16">
        <v>5431</v>
      </c>
    </row>
    <row r="5" spans="1:6" x14ac:dyDescent="0.25">
      <c r="A5" s="1" t="s">
        <v>67</v>
      </c>
      <c r="B5" s="15">
        <v>1954</v>
      </c>
      <c r="C5" s="31">
        <v>1860</v>
      </c>
      <c r="D5" s="11">
        <v>701</v>
      </c>
      <c r="E5" s="46">
        <v>273</v>
      </c>
      <c r="F5" s="31">
        <v>1164</v>
      </c>
    </row>
    <row r="6" spans="1:6" x14ac:dyDescent="0.25">
      <c r="A6" s="1" t="s">
        <v>66</v>
      </c>
      <c r="B6" s="24">
        <v>1878</v>
      </c>
      <c r="C6" s="14">
        <v>2065</v>
      </c>
      <c r="D6" s="14">
        <v>2224</v>
      </c>
      <c r="E6" s="45">
        <v>2072</v>
      </c>
      <c r="F6" s="14">
        <v>2344</v>
      </c>
    </row>
    <row r="7" spans="1:6" x14ac:dyDescent="0.25">
      <c r="A7" s="1" t="s">
        <v>65</v>
      </c>
      <c r="B7" s="13">
        <v>993</v>
      </c>
      <c r="C7" s="11">
        <v>835</v>
      </c>
      <c r="D7" s="31">
        <v>1018</v>
      </c>
      <c r="E7" s="47">
        <v>1274</v>
      </c>
      <c r="F7" s="31">
        <v>1224</v>
      </c>
    </row>
    <row r="8" spans="1:6" ht="15.75" thickBot="1" x14ac:dyDescent="0.3">
      <c r="A8" s="18" t="s">
        <v>64</v>
      </c>
      <c r="B8" s="28">
        <v>8669</v>
      </c>
      <c r="C8" s="29">
        <f>SUM(C4:C7)</f>
        <v>8996</v>
      </c>
      <c r="D8" s="29">
        <f>SUM(D4:D7)</f>
        <v>11084</v>
      </c>
      <c r="E8" s="29">
        <f>SUM(E4:E7)</f>
        <v>11232</v>
      </c>
      <c r="F8" s="29">
        <f>SUM(F4:F7)</f>
        <v>10163</v>
      </c>
    </row>
    <row r="9" spans="1:6" x14ac:dyDescent="0.25">
      <c r="A9" s="1" t="s">
        <v>63</v>
      </c>
      <c r="B9" s="15">
        <v>1673</v>
      </c>
      <c r="C9" s="31">
        <v>1908</v>
      </c>
      <c r="D9" s="31">
        <v>2030</v>
      </c>
      <c r="E9" s="47">
        <v>1936</v>
      </c>
      <c r="F9" s="31">
        <v>1873</v>
      </c>
    </row>
    <row r="10" spans="1:6" x14ac:dyDescent="0.25">
      <c r="A10" s="1" t="s">
        <v>62</v>
      </c>
      <c r="B10" s="8">
        <v>443</v>
      </c>
      <c r="C10" s="7">
        <v>407</v>
      </c>
      <c r="D10" s="7">
        <v>358</v>
      </c>
      <c r="E10" s="48">
        <v>281</v>
      </c>
      <c r="F10" s="7">
        <v>312</v>
      </c>
    </row>
    <row r="11" spans="1:6" x14ac:dyDescent="0.25">
      <c r="A11" s="1" t="s">
        <v>61</v>
      </c>
      <c r="B11" s="15">
        <v>12668</v>
      </c>
      <c r="C11" s="31">
        <v>12787</v>
      </c>
      <c r="D11" s="31">
        <v>12805</v>
      </c>
      <c r="E11" s="47">
        <v>12788</v>
      </c>
      <c r="F11" s="31">
        <v>12857</v>
      </c>
    </row>
    <row r="12" spans="1:6" x14ac:dyDescent="0.25">
      <c r="A12" s="1" t="s">
        <v>60</v>
      </c>
      <c r="B12" s="24">
        <v>1820</v>
      </c>
      <c r="C12" s="14">
        <v>1449</v>
      </c>
      <c r="D12" s="14">
        <v>1088</v>
      </c>
      <c r="E12" s="48">
        <v>782</v>
      </c>
      <c r="F12" s="7">
        <v>495</v>
      </c>
    </row>
    <row r="13" spans="1:6" x14ac:dyDescent="0.25">
      <c r="A13" s="1" t="s">
        <v>59</v>
      </c>
      <c r="B13" s="15">
        <v>1090</v>
      </c>
      <c r="C13" s="11">
        <v>777</v>
      </c>
      <c r="D13" s="31">
        <v>1191</v>
      </c>
      <c r="E13" s="47">
        <v>1657</v>
      </c>
      <c r="F13" s="31">
        <v>2186</v>
      </c>
    </row>
    <row r="14" spans="1:6" x14ac:dyDescent="0.25">
      <c r="A14" s="1" t="s">
        <v>58</v>
      </c>
      <c r="B14" s="8">
        <v>883</v>
      </c>
      <c r="C14" s="7">
        <v>841</v>
      </c>
      <c r="D14" s="14">
        <v>1223</v>
      </c>
      <c r="E14" s="45">
        <v>1554</v>
      </c>
      <c r="F14" s="14">
        <v>1610</v>
      </c>
    </row>
    <row r="15" spans="1:6" ht="15.75" thickBot="1" x14ac:dyDescent="0.3">
      <c r="A15" s="18" t="s">
        <v>57</v>
      </c>
      <c r="B15" s="30">
        <v>27241</v>
      </c>
      <c r="C15" s="23">
        <f>SUM(C8:C14)</f>
        <v>27165</v>
      </c>
      <c r="D15" s="23">
        <f>SUM(D8:D14)</f>
        <v>29779</v>
      </c>
      <c r="E15" s="23">
        <f>SUM(E8:E14)</f>
        <v>30230</v>
      </c>
      <c r="F15" s="23">
        <f>SUM(F8:F14)</f>
        <v>29496</v>
      </c>
    </row>
    <row r="16" spans="1:6" x14ac:dyDescent="0.25">
      <c r="A16" s="18" t="s">
        <v>56</v>
      </c>
      <c r="B16" s="32"/>
      <c r="C16" s="12"/>
      <c r="D16" s="12"/>
      <c r="E16" s="49"/>
      <c r="F16" s="12"/>
    </row>
    <row r="17" spans="1:6" x14ac:dyDescent="0.25">
      <c r="A17" s="1" t="s">
        <v>55</v>
      </c>
      <c r="B17" s="13">
        <v>312</v>
      </c>
      <c r="C17" s="11">
        <v>379</v>
      </c>
      <c r="D17" s="11">
        <v>314</v>
      </c>
      <c r="E17" s="46">
        <v>361</v>
      </c>
      <c r="F17" s="11">
        <v>417</v>
      </c>
    </row>
    <row r="18" spans="1:6" x14ac:dyDescent="0.25">
      <c r="A18" s="1" t="s">
        <v>54</v>
      </c>
      <c r="B18" s="24">
        <v>1736</v>
      </c>
      <c r="C18" s="14">
        <v>1790</v>
      </c>
      <c r="D18" s="14">
        <v>1942</v>
      </c>
      <c r="E18" s="45">
        <v>2336</v>
      </c>
      <c r="F18" s="14">
        <v>2648</v>
      </c>
    </row>
    <row r="19" spans="1:6" x14ac:dyDescent="0.25">
      <c r="A19" s="1" t="s">
        <v>51</v>
      </c>
      <c r="B19" s="11">
        <v>0</v>
      </c>
      <c r="C19" s="11">
        <v>500</v>
      </c>
      <c r="D19" s="11">
        <v>0</v>
      </c>
      <c r="E19" s="47">
        <v>1499</v>
      </c>
      <c r="F19" s="11">
        <v>0</v>
      </c>
    </row>
    <row r="20" spans="1:6" x14ac:dyDescent="0.25">
      <c r="A20" s="1" t="s">
        <v>50</v>
      </c>
      <c r="B20" s="15">
        <v>4733</v>
      </c>
      <c r="C20" s="14">
        <v>5297</v>
      </c>
      <c r="D20" s="14">
        <v>5837</v>
      </c>
      <c r="E20" s="45">
        <v>6131</v>
      </c>
      <c r="F20" s="14">
        <v>6905</v>
      </c>
    </row>
    <row r="21" spans="1:6" x14ac:dyDescent="0.25">
      <c r="A21" s="1" t="s">
        <v>49</v>
      </c>
      <c r="B21" s="8">
        <v>54</v>
      </c>
      <c r="C21" s="11">
        <v>75</v>
      </c>
      <c r="D21" s="11">
        <v>85</v>
      </c>
      <c r="E21" s="46">
        <v>119</v>
      </c>
      <c r="F21" s="11">
        <v>153</v>
      </c>
    </row>
    <row r="22" spans="1:6" x14ac:dyDescent="0.25">
      <c r="A22" s="1" t="s">
        <v>48</v>
      </c>
      <c r="B22" s="13">
        <v>97</v>
      </c>
      <c r="C22" s="7">
        <v>87</v>
      </c>
      <c r="D22" s="7">
        <v>73</v>
      </c>
      <c r="E22" s="48">
        <v>75</v>
      </c>
      <c r="F22" s="7">
        <v>77</v>
      </c>
    </row>
    <row r="23" spans="1:6" ht="15.75" thickBot="1" x14ac:dyDescent="0.3">
      <c r="A23" s="18" t="s">
        <v>53</v>
      </c>
      <c r="B23" s="28">
        <v>6932</v>
      </c>
      <c r="C23" s="23">
        <f>SUM(C17:C22)</f>
        <v>8128</v>
      </c>
      <c r="D23" s="23">
        <f>SUM(D17:D22)</f>
        <v>8251</v>
      </c>
      <c r="E23" s="23">
        <f>SUM(E17:E22)</f>
        <v>10521</v>
      </c>
      <c r="F23" s="23">
        <f>SUM(F17:F22)</f>
        <v>10200</v>
      </c>
    </row>
    <row r="24" spans="1:6" x14ac:dyDescent="0.25">
      <c r="A24" s="18" t="s">
        <v>52</v>
      </c>
      <c r="C24" s="12"/>
      <c r="D24" s="12"/>
      <c r="E24" s="49"/>
      <c r="F24" s="12"/>
    </row>
    <row r="25" spans="1:6" x14ac:dyDescent="0.25">
      <c r="A25" s="1" t="s">
        <v>51</v>
      </c>
      <c r="B25" s="24">
        <v>4123</v>
      </c>
      <c r="C25" s="31">
        <v>3629</v>
      </c>
      <c r="D25" s="31">
        <v>3634</v>
      </c>
      <c r="E25" s="47">
        <v>4129</v>
      </c>
      <c r="F25" s="31">
        <v>6210</v>
      </c>
    </row>
    <row r="26" spans="1:6" x14ac:dyDescent="0.25">
      <c r="A26" s="1" t="s">
        <v>50</v>
      </c>
      <c r="B26" s="13">
        <v>145</v>
      </c>
      <c r="C26" s="7">
        <v>117</v>
      </c>
      <c r="D26" s="7">
        <v>113</v>
      </c>
      <c r="E26" s="48">
        <v>128</v>
      </c>
      <c r="F26" s="7">
        <v>125</v>
      </c>
    </row>
    <row r="27" spans="1:6" x14ac:dyDescent="0.25">
      <c r="A27" s="1" t="s">
        <v>49</v>
      </c>
      <c r="B27" s="8">
        <v>534</v>
      </c>
      <c r="C27" s="11">
        <v>530</v>
      </c>
      <c r="D27" s="11">
        <v>514</v>
      </c>
      <c r="E27" s="46">
        <v>548</v>
      </c>
      <c r="F27" s="11">
        <v>469</v>
      </c>
    </row>
    <row r="28" spans="1:6" x14ac:dyDescent="0.25">
      <c r="A28" s="1" t="s">
        <v>48</v>
      </c>
      <c r="B28" s="8">
        <v>453</v>
      </c>
      <c r="C28" s="7">
        <v>417</v>
      </c>
      <c r="D28" s="7">
        <v>373</v>
      </c>
      <c r="E28" s="48">
        <v>353</v>
      </c>
      <c r="F28" s="7">
        <v>361</v>
      </c>
    </row>
    <row r="29" spans="1:6" x14ac:dyDescent="0.25">
      <c r="A29" s="1" t="s">
        <v>47</v>
      </c>
      <c r="B29" s="13">
        <v>252</v>
      </c>
      <c r="C29" s="11">
        <v>293</v>
      </c>
      <c r="D29" s="11">
        <v>376</v>
      </c>
      <c r="E29" s="46">
        <v>446</v>
      </c>
      <c r="F29" s="11">
        <v>508</v>
      </c>
    </row>
    <row r="30" spans="1:6" ht="15.75" thickBot="1" x14ac:dyDescent="0.3">
      <c r="A30" s="18" t="s">
        <v>46</v>
      </c>
      <c r="B30" s="28">
        <v>12444</v>
      </c>
      <c r="C30" s="29">
        <f>SUM(C23:C29)</f>
        <v>13114</v>
      </c>
      <c r="D30" s="29">
        <f>SUM(D23:D29)</f>
        <v>13261</v>
      </c>
      <c r="E30" s="29">
        <f>SUM(E23:E29)</f>
        <v>16125</v>
      </c>
      <c r="F30" s="29">
        <f>SUM(F23:F29)</f>
        <v>17873</v>
      </c>
    </row>
    <row r="31" spans="1:6" x14ac:dyDescent="0.25">
      <c r="A31" s="1" t="s">
        <v>45</v>
      </c>
      <c r="B31" s="27"/>
      <c r="C31" s="6"/>
      <c r="D31" s="6"/>
      <c r="E31" s="50"/>
      <c r="F31" s="6"/>
    </row>
    <row r="32" spans="1:6" x14ac:dyDescent="0.25">
      <c r="A32" s="18" t="s">
        <v>44</v>
      </c>
      <c r="B32" s="32"/>
      <c r="C32" s="12"/>
      <c r="D32" s="12"/>
      <c r="E32" s="49"/>
      <c r="F32" s="12"/>
    </row>
    <row r="33" spans="1:6" x14ac:dyDescent="0.25">
      <c r="A33" s="1" t="s">
        <v>43</v>
      </c>
      <c r="B33" s="13">
        <v>0</v>
      </c>
      <c r="C33" s="11">
        <v>0</v>
      </c>
      <c r="D33" s="11">
        <v>0</v>
      </c>
      <c r="E33" s="46">
        <v>0</v>
      </c>
      <c r="F33" s="11">
        <v>0</v>
      </c>
    </row>
    <row r="34" spans="1:6" x14ac:dyDescent="0.25">
      <c r="A34" s="1" t="s">
        <v>42</v>
      </c>
      <c r="B34" s="8">
        <v>0</v>
      </c>
      <c r="C34" s="7">
        <v>0</v>
      </c>
      <c r="D34" s="7">
        <v>0</v>
      </c>
      <c r="E34" s="48">
        <v>0</v>
      </c>
      <c r="F34" s="7">
        <v>0</v>
      </c>
    </row>
    <row r="35" spans="1:6" x14ac:dyDescent="0.25">
      <c r="A35" s="1" t="s">
        <v>41</v>
      </c>
      <c r="B35" s="15">
        <v>8428</v>
      </c>
      <c r="C35" s="31">
        <v>9868</v>
      </c>
      <c r="D35" s="31">
        <v>11586</v>
      </c>
      <c r="E35" s="47">
        <v>13419</v>
      </c>
      <c r="F35" s="31">
        <v>15361</v>
      </c>
    </row>
    <row r="36" spans="1:6" x14ac:dyDescent="0.25">
      <c r="A36" s="1" t="s">
        <v>40</v>
      </c>
      <c r="B36" s="24">
        <v>23905</v>
      </c>
      <c r="C36" s="14">
        <v>28319</v>
      </c>
      <c r="D36" s="14">
        <v>33346</v>
      </c>
      <c r="E36" s="45">
        <v>38470</v>
      </c>
      <c r="F36" s="14">
        <v>45354</v>
      </c>
    </row>
    <row r="37" spans="1:6" x14ac:dyDescent="0.25">
      <c r="A37" s="1" t="s">
        <v>39</v>
      </c>
      <c r="B37" s="11">
        <v>-137</v>
      </c>
      <c r="C37" s="11">
        <v>-293</v>
      </c>
      <c r="D37" s="11">
        <v>-285</v>
      </c>
      <c r="E37" s="46">
        <v>-201</v>
      </c>
      <c r="F37" s="11">
        <v>-245</v>
      </c>
    </row>
    <row r="38" spans="1:6" x14ac:dyDescent="0.25">
      <c r="A38" s="1" t="s">
        <v>38</v>
      </c>
      <c r="B38" s="14">
        <v>-17399</v>
      </c>
      <c r="C38" s="14">
        <v>-23843</v>
      </c>
      <c r="D38" s="14">
        <v>-28129</v>
      </c>
      <c r="E38" s="45">
        <v>-37583</v>
      </c>
      <c r="F38" s="14">
        <v>-48847</v>
      </c>
    </row>
    <row r="39" spans="1:6" ht="15.75" thickBot="1" x14ac:dyDescent="0.3">
      <c r="A39" s="1" t="s">
        <v>37</v>
      </c>
      <c r="B39" s="30">
        <v>14797</v>
      </c>
      <c r="C39" s="23">
        <v>14051</v>
      </c>
      <c r="D39" s="23">
        <v>16518</v>
      </c>
      <c r="E39" s="44">
        <v>14105</v>
      </c>
      <c r="F39" s="23">
        <v>11623</v>
      </c>
    </row>
    <row r="40" spans="1:6" ht="15.75" thickBot="1" x14ac:dyDescent="0.3">
      <c r="A40" s="1" t="s">
        <v>36</v>
      </c>
      <c r="B40" s="43">
        <v>27241</v>
      </c>
      <c r="C40" s="4">
        <v>27165</v>
      </c>
      <c r="D40" s="4">
        <v>29779</v>
      </c>
      <c r="E40" s="42">
        <v>30230</v>
      </c>
      <c r="F40" s="4">
        <v>29496</v>
      </c>
    </row>
    <row r="41" spans="1:6" ht="15.75" thickTop="1" x14ac:dyDescent="0.25">
      <c r="D41" s="41"/>
      <c r="E41" s="40"/>
      <c r="F41" s="40"/>
    </row>
    <row r="42" spans="1:6" x14ac:dyDescent="0.25">
      <c r="D42" s="39"/>
      <c r="E42" s="38"/>
      <c r="F42" s="38"/>
    </row>
  </sheetData>
  <mergeCells count="2">
    <mergeCell ref="E41:F41"/>
    <mergeCell ref="E42:F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34C3F-D5B4-4502-86BB-CE4F54F093DB}">
  <dimension ref="A1:F45"/>
  <sheetViews>
    <sheetView showGridLines="0" zoomScale="120" zoomScaleNormal="120" zoomScalePageLayoutView="84" workbookViewId="0">
      <selection activeCell="J17" sqref="J17"/>
    </sheetView>
  </sheetViews>
  <sheetFormatPr defaultRowHeight="15" x14ac:dyDescent="0.25"/>
  <cols>
    <col min="1" max="1" width="82.7109375" style="1" bestFit="1" customWidth="1"/>
    <col min="2" max="2" width="10.7109375" style="1" bestFit="1" customWidth="1"/>
    <col min="3" max="4" width="9.140625" style="1"/>
    <col min="5" max="5" width="10.7109375" style="1" bestFit="1" customWidth="1"/>
    <col min="6" max="6" width="14.5703125" style="1" bestFit="1" customWidth="1"/>
    <col min="7" max="16384" width="9.140625" style="1"/>
  </cols>
  <sheetData>
    <row r="1" spans="1:6" ht="15" customHeight="1" x14ac:dyDescent="0.25">
      <c r="A1" s="35" t="s">
        <v>109</v>
      </c>
      <c r="B1" s="71"/>
      <c r="C1" s="71"/>
      <c r="D1" s="71"/>
      <c r="E1" s="71"/>
      <c r="F1" s="71" t="s">
        <v>34</v>
      </c>
    </row>
    <row r="2" spans="1:6" ht="22.5" x14ac:dyDescent="0.25">
      <c r="A2" s="35" t="s">
        <v>70</v>
      </c>
      <c r="B2" s="36" t="s">
        <v>32</v>
      </c>
      <c r="C2" s="36" t="s">
        <v>31</v>
      </c>
      <c r="D2" s="36" t="s">
        <v>30</v>
      </c>
      <c r="E2" s="35" t="s">
        <v>29</v>
      </c>
      <c r="F2" s="35" t="s">
        <v>28</v>
      </c>
    </row>
    <row r="3" spans="1:6" x14ac:dyDescent="0.25">
      <c r="A3" s="18" t="s">
        <v>108</v>
      </c>
      <c r="B3" s="69"/>
      <c r="C3" s="69"/>
      <c r="D3" s="69"/>
      <c r="E3" s="60"/>
      <c r="F3" s="60"/>
    </row>
    <row r="4" spans="1:6" x14ac:dyDescent="0.25">
      <c r="A4" s="18" t="s">
        <v>11</v>
      </c>
      <c r="B4" s="70">
        <v>4822</v>
      </c>
      <c r="C4" s="70">
        <v>4756</v>
      </c>
      <c r="D4" s="70">
        <v>5428</v>
      </c>
      <c r="E4" s="70">
        <v>5560</v>
      </c>
      <c r="F4" s="70">
        <v>7130</v>
      </c>
    </row>
    <row r="5" spans="1:6" x14ac:dyDescent="0.25">
      <c r="A5" s="1" t="s">
        <v>107</v>
      </c>
      <c r="B5" s="69"/>
      <c r="C5" s="69"/>
      <c r="D5" s="69"/>
      <c r="E5" s="60"/>
      <c r="F5" s="60"/>
    </row>
    <row r="6" spans="1:6" x14ac:dyDescent="0.25">
      <c r="A6" s="1" t="s">
        <v>106</v>
      </c>
      <c r="B6" s="61">
        <v>788</v>
      </c>
      <c r="C6" s="61">
        <v>856</v>
      </c>
      <c r="D6" s="61">
        <v>872</v>
      </c>
      <c r="E6" s="61">
        <v>857</v>
      </c>
      <c r="F6" s="61">
        <v>818</v>
      </c>
    </row>
    <row r="7" spans="1:6" x14ac:dyDescent="0.25">
      <c r="A7" s="1" t="s">
        <v>105</v>
      </c>
      <c r="B7" s="59">
        <v>1069</v>
      </c>
      <c r="C7" s="59">
        <v>1440</v>
      </c>
      <c r="D7" s="59">
        <v>1718</v>
      </c>
      <c r="E7" s="59">
        <v>1833</v>
      </c>
      <c r="F7" s="59">
        <v>1942</v>
      </c>
    </row>
    <row r="8" spans="1:6" x14ac:dyDescent="0.25">
      <c r="A8" s="1" t="s">
        <v>104</v>
      </c>
      <c r="B8" s="61">
        <v>73</v>
      </c>
      <c r="C8" s="61">
        <v>83</v>
      </c>
      <c r="D8" s="61">
        <v>72</v>
      </c>
      <c r="E8" s="61">
        <v>78</v>
      </c>
      <c r="F8" s="61">
        <v>0</v>
      </c>
    </row>
    <row r="9" spans="1:6" x14ac:dyDescent="0.25">
      <c r="A9" s="1" t="s">
        <v>59</v>
      </c>
      <c r="B9" s="60">
        <v>183</v>
      </c>
      <c r="C9" s="60">
        <v>328</v>
      </c>
      <c r="D9" s="60">
        <v>-426</v>
      </c>
      <c r="E9" s="60">
        <v>-468</v>
      </c>
      <c r="F9" s="60">
        <v>-512</v>
      </c>
    </row>
    <row r="10" spans="1:6" x14ac:dyDescent="0.25">
      <c r="A10" s="1" t="s">
        <v>103</v>
      </c>
      <c r="B10" s="60" t="s">
        <v>102</v>
      </c>
      <c r="C10" s="60">
        <v>29</v>
      </c>
      <c r="D10" s="60">
        <v>-10</v>
      </c>
      <c r="E10" s="60"/>
      <c r="F10" s="60"/>
    </row>
    <row r="11" spans="1:6" x14ac:dyDescent="0.25">
      <c r="A11" s="1" t="s">
        <v>101</v>
      </c>
      <c r="B11" s="60">
        <v>7</v>
      </c>
      <c r="C11" s="60">
        <v>10</v>
      </c>
      <c r="D11" s="60">
        <v>3</v>
      </c>
      <c r="E11" s="61">
        <v>52</v>
      </c>
      <c r="F11" s="61">
        <v>48</v>
      </c>
    </row>
    <row r="12" spans="1:6" x14ac:dyDescent="0.25">
      <c r="A12" s="1" t="s">
        <v>100</v>
      </c>
      <c r="E12" s="60"/>
      <c r="F12" s="60"/>
    </row>
    <row r="13" spans="1:6" x14ac:dyDescent="0.25">
      <c r="A13" s="1" t="s">
        <v>99</v>
      </c>
      <c r="B13" s="60">
        <v>-430</v>
      </c>
      <c r="C13" s="60">
        <v>-198</v>
      </c>
      <c r="D13" s="60">
        <v>-159</v>
      </c>
      <c r="E13" s="61">
        <v>143</v>
      </c>
      <c r="F13" s="61">
        <v>-275</v>
      </c>
    </row>
    <row r="14" spans="1:6" x14ac:dyDescent="0.25">
      <c r="A14" s="1" t="s">
        <v>98</v>
      </c>
      <c r="B14" s="61">
        <v>-475</v>
      </c>
      <c r="C14" s="61">
        <v>-94</v>
      </c>
      <c r="D14" s="61">
        <v>-818</v>
      </c>
      <c r="E14" s="60">
        <v>-616</v>
      </c>
      <c r="F14" s="60">
        <v>-90</v>
      </c>
    </row>
    <row r="15" spans="1:6" x14ac:dyDescent="0.25">
      <c r="A15" s="1" t="s">
        <v>55</v>
      </c>
      <c r="B15" s="60">
        <v>-20</v>
      </c>
      <c r="C15" s="60">
        <v>66</v>
      </c>
      <c r="D15" s="60">
        <v>-49</v>
      </c>
      <c r="E15" s="61">
        <v>44</v>
      </c>
      <c r="F15" s="61">
        <v>64</v>
      </c>
    </row>
    <row r="16" spans="1:6" x14ac:dyDescent="0.25">
      <c r="A16" s="1" t="s">
        <v>97</v>
      </c>
      <c r="B16" s="61">
        <v>162</v>
      </c>
      <c r="C16" s="61">
        <v>7</v>
      </c>
      <c r="D16" s="61">
        <v>146</v>
      </c>
      <c r="E16" s="60">
        <v>196</v>
      </c>
      <c r="F16" s="60">
        <v>180</v>
      </c>
    </row>
    <row r="17" spans="1:6" x14ac:dyDescent="0.25">
      <c r="A17" s="1" t="s">
        <v>49</v>
      </c>
      <c r="B17" s="60">
        <v>2</v>
      </c>
      <c r="C17" s="60">
        <v>19</v>
      </c>
      <c r="D17" s="60">
        <v>-11</v>
      </c>
      <c r="E17" s="61">
        <v>68</v>
      </c>
      <c r="F17" s="61">
        <v>-45</v>
      </c>
    </row>
    <row r="18" spans="1:6" x14ac:dyDescent="0.25">
      <c r="A18" s="1" t="s">
        <v>50</v>
      </c>
      <c r="B18" s="63">
        <v>1053</v>
      </c>
      <c r="C18" s="61">
        <v>536</v>
      </c>
      <c r="D18" s="61">
        <v>536</v>
      </c>
      <c r="E18" s="60">
        <v>309</v>
      </c>
      <c r="F18" s="60">
        <v>771</v>
      </c>
    </row>
    <row r="19" spans="1:6" ht="15.75" thickBot="1" x14ac:dyDescent="0.3">
      <c r="A19" s="18" t="s">
        <v>96</v>
      </c>
      <c r="B19" s="64">
        <v>7230</v>
      </c>
      <c r="C19" s="64">
        <v>7838</v>
      </c>
      <c r="D19" s="64">
        <v>7302</v>
      </c>
      <c r="E19" s="68">
        <v>8056</v>
      </c>
      <c r="F19" s="68">
        <v>10031</v>
      </c>
    </row>
    <row r="20" spans="1:6" x14ac:dyDescent="0.25">
      <c r="A20" s="18" t="s">
        <v>95</v>
      </c>
      <c r="B20" s="66"/>
      <c r="C20" s="66"/>
      <c r="D20" s="66"/>
      <c r="E20" s="60"/>
      <c r="F20" s="60"/>
    </row>
    <row r="21" spans="1:6" x14ac:dyDescent="0.25">
      <c r="A21" s="1" t="s">
        <v>94</v>
      </c>
      <c r="B21" s="59">
        <v>-1533</v>
      </c>
      <c r="C21" s="60">
        <v>-909</v>
      </c>
      <c r="D21" s="60">
        <v>0</v>
      </c>
      <c r="E21" s="61">
        <v>-59</v>
      </c>
      <c r="F21" s="63">
        <v>-2034</v>
      </c>
    </row>
    <row r="22" spans="1:6" x14ac:dyDescent="0.25">
      <c r="A22" s="1" t="s">
        <v>93</v>
      </c>
      <c r="B22" s="61">
        <v>877</v>
      </c>
      <c r="C22" s="61">
        <v>683</v>
      </c>
      <c r="D22" s="61">
        <v>965</v>
      </c>
      <c r="E22" s="60">
        <v>486</v>
      </c>
      <c r="F22" s="59">
        <v>1168</v>
      </c>
    </row>
    <row r="23" spans="1:6" x14ac:dyDescent="0.25">
      <c r="A23" s="1" t="s">
        <v>92</v>
      </c>
      <c r="B23" s="60">
        <v>191</v>
      </c>
      <c r="C23" s="60">
        <v>270</v>
      </c>
      <c r="D23" s="60">
        <v>223</v>
      </c>
      <c r="E23" s="61">
        <v>11</v>
      </c>
      <c r="F23" s="61">
        <v>6</v>
      </c>
    </row>
    <row r="24" spans="1:6" x14ac:dyDescent="0.25">
      <c r="A24" s="1" t="s">
        <v>91</v>
      </c>
      <c r="B24" s="63">
        <v>-2682</v>
      </c>
      <c r="C24" s="61">
        <v>-126</v>
      </c>
      <c r="D24" s="61">
        <v>0</v>
      </c>
      <c r="E24" s="60">
        <v>0</v>
      </c>
      <c r="F24" s="60">
        <v>-17</v>
      </c>
    </row>
    <row r="25" spans="1:6" x14ac:dyDescent="0.25">
      <c r="A25" s="1" t="s">
        <v>90</v>
      </c>
      <c r="B25" s="60">
        <v>-348</v>
      </c>
      <c r="C25" s="60">
        <v>-442</v>
      </c>
      <c r="D25" s="60">
        <v>-360</v>
      </c>
      <c r="E25" s="61">
        <v>-183</v>
      </c>
      <c r="F25" s="61">
        <v>-179</v>
      </c>
    </row>
    <row r="26" spans="1:6" x14ac:dyDescent="0.25">
      <c r="A26" s="1" t="s">
        <v>89</v>
      </c>
      <c r="B26" s="61">
        <v>-42</v>
      </c>
      <c r="C26" s="61">
        <v>-46</v>
      </c>
      <c r="D26" s="61">
        <v>-53</v>
      </c>
      <c r="E26" s="60">
        <v>-108</v>
      </c>
      <c r="F26" s="60">
        <v>-134</v>
      </c>
    </row>
    <row r="27" spans="1:6" x14ac:dyDescent="0.25">
      <c r="A27" s="1" t="s">
        <v>88</v>
      </c>
      <c r="B27" s="60">
        <v>0</v>
      </c>
      <c r="C27" s="60">
        <v>0</v>
      </c>
      <c r="D27" s="60">
        <v>1</v>
      </c>
      <c r="E27" s="61">
        <v>2</v>
      </c>
      <c r="F27" s="61">
        <v>3</v>
      </c>
    </row>
    <row r="28" spans="1:6" ht="15.75" thickBot="1" x14ac:dyDescent="0.3">
      <c r="A28" s="18" t="s">
        <v>87</v>
      </c>
      <c r="B28" s="68">
        <v>-3537</v>
      </c>
      <c r="C28" s="67">
        <v>-570</v>
      </c>
      <c r="D28" s="67">
        <v>776</v>
      </c>
      <c r="E28" s="65">
        <v>149</v>
      </c>
      <c r="F28" s="64">
        <v>-1187</v>
      </c>
    </row>
    <row r="29" spans="1:6" x14ac:dyDescent="0.25">
      <c r="A29" s="18" t="s">
        <v>86</v>
      </c>
      <c r="B29" s="66"/>
      <c r="C29" s="66"/>
      <c r="D29" s="66"/>
      <c r="E29" s="61"/>
      <c r="F29" s="61"/>
    </row>
    <row r="30" spans="1:6" x14ac:dyDescent="0.25">
      <c r="A30" s="1" t="s">
        <v>85</v>
      </c>
      <c r="B30" s="63">
        <v>-3950</v>
      </c>
      <c r="C30" s="63">
        <v>-6550</v>
      </c>
      <c r="D30" s="63">
        <v>-4400</v>
      </c>
      <c r="E30" s="59">
        <v>-9500</v>
      </c>
      <c r="F30" s="59">
        <v>-11281</v>
      </c>
    </row>
    <row r="31" spans="1:6" x14ac:dyDescent="0.25">
      <c r="A31" s="1" t="s">
        <v>84</v>
      </c>
      <c r="B31" s="60">
        <v>291</v>
      </c>
      <c r="C31" s="60">
        <v>278</v>
      </c>
      <c r="D31" s="60">
        <v>314</v>
      </c>
      <c r="E31" s="61">
        <v>361</v>
      </c>
      <c r="F31" s="61">
        <v>348</v>
      </c>
    </row>
    <row r="32" spans="1:6" x14ac:dyDescent="0.25">
      <c r="A32" s="1" t="s">
        <v>83</v>
      </c>
      <c r="B32" s="61">
        <v>-719</v>
      </c>
      <c r="C32" s="61">
        <v>-518</v>
      </c>
      <c r="D32" s="61">
        <v>-589</v>
      </c>
      <c r="E32" s="60">
        <v>-677</v>
      </c>
      <c r="F32" s="60">
        <v>-475</v>
      </c>
    </row>
    <row r="33" spans="1:6" x14ac:dyDescent="0.25">
      <c r="A33" s="1" t="s">
        <v>82</v>
      </c>
      <c r="B33" s="66"/>
      <c r="C33" s="66"/>
      <c r="D33" s="66"/>
      <c r="E33" s="63">
        <v>1997</v>
      </c>
      <c r="F33" s="63">
        <v>1997</v>
      </c>
    </row>
    <row r="34" spans="1:6" x14ac:dyDescent="0.25">
      <c r="A34" s="1" t="s">
        <v>81</v>
      </c>
      <c r="B34" s="60">
        <v>0</v>
      </c>
      <c r="C34" s="60">
        <v>0</v>
      </c>
      <c r="D34" s="60">
        <v>-500</v>
      </c>
      <c r="E34" s="60">
        <v>0</v>
      </c>
      <c r="F34" s="59">
        <v>-1500</v>
      </c>
    </row>
    <row r="35" spans="1:6" x14ac:dyDescent="0.25">
      <c r="A35" s="1" t="s">
        <v>80</v>
      </c>
      <c r="B35" s="61">
        <v>77</v>
      </c>
      <c r="C35" s="61">
        <v>-35</v>
      </c>
      <c r="D35" s="61">
        <v>-7</v>
      </c>
      <c r="E35" s="61">
        <v>95</v>
      </c>
      <c r="F35" s="61">
        <v>-149</v>
      </c>
    </row>
    <row r="36" spans="1:6" ht="15.75" thickBot="1" x14ac:dyDescent="0.3">
      <c r="A36" s="18" t="s">
        <v>79</v>
      </c>
      <c r="B36" s="64">
        <v>-4301</v>
      </c>
      <c r="C36" s="64">
        <v>-6825</v>
      </c>
      <c r="D36" s="64">
        <v>-5182</v>
      </c>
      <c r="E36" s="64">
        <v>-7724</v>
      </c>
      <c r="F36" s="64">
        <v>-11060</v>
      </c>
    </row>
    <row r="37" spans="1:6" x14ac:dyDescent="0.25">
      <c r="A37" s="1" t="s">
        <v>78</v>
      </c>
      <c r="B37" s="61">
        <v>-26</v>
      </c>
      <c r="C37" s="61">
        <v>-51</v>
      </c>
      <c r="D37" s="61">
        <v>9</v>
      </c>
      <c r="E37" s="61">
        <v>-9</v>
      </c>
      <c r="F37" s="61">
        <v>34</v>
      </c>
    </row>
    <row r="38" spans="1:6" ht="15.75" thickBot="1" x14ac:dyDescent="0.3">
      <c r="A38" s="1" t="s">
        <v>77</v>
      </c>
      <c r="B38" s="65">
        <v>-634</v>
      </c>
      <c r="C38" s="65">
        <v>392</v>
      </c>
      <c r="D38" s="64">
        <v>2905</v>
      </c>
      <c r="E38" s="65">
        <v>472</v>
      </c>
      <c r="F38" s="64">
        <v>-2182</v>
      </c>
    </row>
    <row r="39" spans="1:6" x14ac:dyDescent="0.25">
      <c r="A39" s="1" t="s">
        <v>76</v>
      </c>
      <c r="B39" s="63">
        <v>4478</v>
      </c>
      <c r="C39" s="63">
        <v>3844</v>
      </c>
      <c r="D39" s="63">
        <v>4236</v>
      </c>
      <c r="E39" s="63">
        <v>7141</v>
      </c>
      <c r="F39" s="63">
        <v>7613</v>
      </c>
    </row>
    <row r="40" spans="1:6" x14ac:dyDescent="0.25">
      <c r="A40" s="1" t="s">
        <v>75</v>
      </c>
      <c r="B40" s="59">
        <v>3844</v>
      </c>
      <c r="C40" s="59">
        <v>4236</v>
      </c>
      <c r="D40" s="59">
        <v>7141</v>
      </c>
      <c r="E40" s="59">
        <v>7613</v>
      </c>
      <c r="F40" s="59">
        <v>5431</v>
      </c>
    </row>
    <row r="41" spans="1:6" x14ac:dyDescent="0.25">
      <c r="A41" s="1" t="s">
        <v>74</v>
      </c>
      <c r="B41" s="62"/>
      <c r="C41" s="62"/>
      <c r="D41" s="62"/>
      <c r="E41" s="61"/>
      <c r="F41" s="61"/>
    </row>
    <row r="42" spans="1:6" x14ac:dyDescent="0.25">
      <c r="A42" s="1" t="s">
        <v>73</v>
      </c>
      <c r="B42" s="60">
        <v>843</v>
      </c>
      <c r="C42" s="60">
        <v>778</v>
      </c>
      <c r="D42" s="59">
        <v>1854</v>
      </c>
      <c r="E42" s="59">
        <v>1727</v>
      </c>
      <c r="F42" s="59">
        <v>2219</v>
      </c>
    </row>
    <row r="43" spans="1:6" ht="15.75" thickBot="1" x14ac:dyDescent="0.3">
      <c r="A43" s="1" t="s">
        <v>72</v>
      </c>
      <c r="B43" s="58">
        <v>100</v>
      </c>
      <c r="C43" s="58">
        <v>103</v>
      </c>
      <c r="D43" s="58">
        <v>106</v>
      </c>
      <c r="E43" s="58">
        <v>143</v>
      </c>
      <c r="F43" s="58">
        <v>246</v>
      </c>
    </row>
    <row r="44" spans="1:6" ht="15.75" thickTop="1" x14ac:dyDescent="0.25">
      <c r="A44" s="3"/>
      <c r="B44" s="3"/>
      <c r="C44" s="40"/>
      <c r="D44" s="40"/>
      <c r="E44" s="3"/>
      <c r="F44" s="3"/>
    </row>
    <row r="45" spans="1:6" x14ac:dyDescent="0.25">
      <c r="A45" s="2"/>
      <c r="B45" s="2"/>
      <c r="C45" s="38"/>
      <c r="D45" s="38"/>
      <c r="E45" s="2"/>
      <c r="F45" s="2"/>
    </row>
  </sheetData>
  <mergeCells count="2">
    <mergeCell ref="C44:D44"/>
    <mergeCell ref="C45:D4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 - ADOBE</vt:lpstr>
      <vt:lpstr>BS - ADOBE</vt:lpstr>
      <vt:lpstr>CF - ADOBE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Tony</dc:creator>
  <cp:lastModifiedBy>Nguyen, Tony</cp:lastModifiedBy>
  <dcterms:created xsi:type="dcterms:W3CDTF">2026-03-02T15:30:56Z</dcterms:created>
  <dcterms:modified xsi:type="dcterms:W3CDTF">2026-03-02T15:31:07Z</dcterms:modified>
</cp:coreProperties>
</file>