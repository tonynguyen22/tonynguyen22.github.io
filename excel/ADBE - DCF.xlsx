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CAREER\STOCK RESEARCH\ADBE\"/>
    </mc:Choice>
  </mc:AlternateContent>
  <xr:revisionPtr revIDLastSave="0" documentId="13_ncr:1_{293B6C2F-3B7A-4BBC-BED7-A3BA80F41FC9}" xr6:coauthVersionLast="47" xr6:coauthVersionMax="47" xr10:uidLastSave="{00000000-0000-0000-0000-000000000000}"/>
  <bookViews>
    <workbookView xWindow="-120" yWindow="-120" windowWidth="29040" windowHeight="15720" firstSheet="3" activeTab="3" xr2:uid="{2AE60359-9C91-C747-B9BC-22BA7C93C4A8}"/>
  </bookViews>
  <sheets>
    <sheet name="Valuation" sheetId="18" r:id="rId1"/>
    <sheet name="Scenarios" sheetId="19" r:id="rId2"/>
    <sheet name="DCF model" sheetId="2" r:id="rId3"/>
    <sheet name="Comps" sheetId="8" r:id="rId4"/>
    <sheet name="INPUT&gt;&gt;&gt;" sheetId="11" r:id="rId5"/>
    <sheet name="WACC" sheetId="7" r:id="rId6"/>
    <sheet name="IS - ADOBE" sheetId="13" r:id="rId7"/>
    <sheet name="BS - ADOBE" sheetId="12" r:id="rId8"/>
    <sheet name="CF - ADOBE" sheetId="14" r:id="rId9"/>
    <sheet name="SUMMARY&gt;&gt;&gt;" sheetId="20" r:id="rId10"/>
    <sheet name="52 week share price" sheetId="9" r:id="rId11"/>
    <sheet name="Summary" sheetId="10" r:id="rId12"/>
    <sheet name="Model Summary" sheetId="17" r:id="rId13"/>
  </sheets>
  <externalReferences>
    <externalReference r:id="rId14"/>
  </externalReferences>
  <definedNames>
    <definedName name="D">WACC!$D$15</definedName>
    <definedName name="D_perc">WACC!$D$17</definedName>
    <definedName name="E">WACC!$D$14</definedName>
    <definedName name="E_perc">WACC!$D$16</definedName>
    <definedName name="kd">WACC!$D$19</definedName>
    <definedName name="ke">WACC!$D$12</definedName>
    <definedName name="_xlnm.Print_Area" localSheetId="10">'52 week share price'!$B$2:$R$13</definedName>
    <definedName name="_xlnm.Print_Area" localSheetId="3">Comps!$B$2:$R$36</definedName>
    <definedName name="_xlnm.Print_Area" localSheetId="2">'DCF model'!$B$2:$S$162</definedName>
    <definedName name="scen" localSheetId="10">'52 week share price'!#REF!</definedName>
    <definedName name="scen" localSheetId="3">Comps!#REF!</definedName>
    <definedName name="scen">'DCF model'!$E$16</definedName>
    <definedName name="Tax_shield">WACC!$D$18</definedName>
    <definedName name="Tax_shielf">WACC!$D$18</definedName>
    <definedName name="Tgr" localSheetId="10">'52 week share price'!#REF!</definedName>
    <definedName name="Tgr" localSheetId="3">Comps!#REF!</definedName>
    <definedName name="tgr">'DCF model'!$E$18</definedName>
    <definedName name="wacc" localSheetId="10">'52 week share price'!#REF!</definedName>
    <definedName name="wacc" localSheetId="3">Comps!#REF!</definedName>
    <definedName name="wacc">'DCF model'!$E$17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5" i="2" l="1"/>
  <c r="H40" i="2"/>
  <c r="N80" i="2"/>
  <c r="O80" i="2" s="1"/>
  <c r="P80" i="2" s="1"/>
  <c r="Q80" i="2" s="1"/>
  <c r="R80" i="2" s="1"/>
  <c r="N79" i="2"/>
  <c r="O79" i="2" s="1"/>
  <c r="P79" i="2" s="1"/>
  <c r="Q79" i="2" s="1"/>
  <c r="R79" i="2" s="1"/>
  <c r="F19" i="19"/>
  <c r="E11" i="2" a="1"/>
  <c r="E11" i="2" l="1"/>
  <c r="I76" i="2" l="1"/>
  <c r="J76" i="2"/>
  <c r="J77" i="2" s="1"/>
  <c r="K76" i="2"/>
  <c r="K77" i="2" s="1"/>
  <c r="L76" i="2"/>
  <c r="L77" i="2" s="1"/>
  <c r="H76" i="2"/>
  <c r="D7" i="18"/>
  <c r="I77" i="2" l="1"/>
  <c r="M78" i="2" s="1"/>
  <c r="D6" i="18"/>
  <c r="O105" i="2"/>
  <c r="D18" i="18" s="1"/>
  <c r="O104" i="2"/>
  <c r="D17" i="18" s="1"/>
  <c r="R104" i="2"/>
  <c r="R105" i="2"/>
  <c r="E11" i="19"/>
  <c r="N78" i="2" l="1"/>
  <c r="M77" i="2"/>
  <c r="M76" i="2" s="1"/>
  <c r="D10" i="18"/>
  <c r="D9" i="18"/>
  <c r="D8" i="18"/>
  <c r="E15" i="19"/>
  <c r="F15" i="19"/>
  <c r="F14" i="19"/>
  <c r="D21" i="19"/>
  <c r="D23" i="19" s="1"/>
  <c r="D24" i="19" s="1"/>
  <c r="F11" i="19"/>
  <c r="D11" i="19"/>
  <c r="F21" i="19"/>
  <c r="F23" i="19" s="1"/>
  <c r="F24" i="19" s="1"/>
  <c r="E14" i="19"/>
  <c r="O78" i="2" l="1"/>
  <c r="N77" i="2"/>
  <c r="N76" i="2" s="1"/>
  <c r="E19" i="19"/>
  <c r="E21" i="19" s="1"/>
  <c r="E23" i="19" s="1"/>
  <c r="D11" i="18"/>
  <c r="D25" i="19"/>
  <c r="P78" i="2" l="1"/>
  <c r="O77" i="2"/>
  <c r="O76" i="2" s="1"/>
  <c r="E24" i="19"/>
  <c r="E25" i="19"/>
  <c r="K32" i="17"/>
  <c r="J32" i="17"/>
  <c r="I32" i="17"/>
  <c r="H32" i="17"/>
  <c r="G32" i="17"/>
  <c r="F32" i="17"/>
  <c r="E32" i="17"/>
  <c r="D32" i="17"/>
  <c r="C32" i="17"/>
  <c r="K30" i="17"/>
  <c r="J30" i="17"/>
  <c r="I30" i="17"/>
  <c r="H30" i="17"/>
  <c r="G30" i="17"/>
  <c r="F30" i="17"/>
  <c r="E30" i="17"/>
  <c r="D30" i="17"/>
  <c r="C30" i="17"/>
  <c r="K28" i="17"/>
  <c r="J28" i="17"/>
  <c r="I28" i="17"/>
  <c r="H28" i="17"/>
  <c r="G28" i="17"/>
  <c r="F28" i="17"/>
  <c r="E28" i="17"/>
  <c r="D28" i="17"/>
  <c r="C28" i="17"/>
  <c r="K27" i="17"/>
  <c r="J27" i="17"/>
  <c r="I27" i="17"/>
  <c r="H27" i="17"/>
  <c r="G27" i="17"/>
  <c r="F27" i="17"/>
  <c r="E27" i="17"/>
  <c r="D27" i="17"/>
  <c r="C27" i="17"/>
  <c r="K25" i="17"/>
  <c r="J25" i="17"/>
  <c r="I25" i="17"/>
  <c r="H25" i="17"/>
  <c r="G25" i="17"/>
  <c r="F25" i="17"/>
  <c r="E25" i="17"/>
  <c r="D25" i="17"/>
  <c r="C25" i="17"/>
  <c r="K24" i="17"/>
  <c r="J24" i="17"/>
  <c r="I24" i="17"/>
  <c r="H24" i="17"/>
  <c r="G24" i="17"/>
  <c r="F24" i="17"/>
  <c r="E24" i="17"/>
  <c r="D24" i="17"/>
  <c r="C24" i="17"/>
  <c r="K22" i="17"/>
  <c r="J22" i="17"/>
  <c r="I22" i="17"/>
  <c r="H22" i="17"/>
  <c r="G22" i="17"/>
  <c r="F22" i="17"/>
  <c r="E22" i="17"/>
  <c r="D22" i="17"/>
  <c r="C22" i="17"/>
  <c r="K21" i="17"/>
  <c r="J21" i="17"/>
  <c r="I21" i="17"/>
  <c r="H21" i="17"/>
  <c r="G21" i="17"/>
  <c r="F21" i="17"/>
  <c r="E21" i="17"/>
  <c r="D21" i="17"/>
  <c r="C21" i="17"/>
  <c r="K18" i="17"/>
  <c r="J18" i="17"/>
  <c r="I18" i="17"/>
  <c r="H18" i="17"/>
  <c r="G18" i="17"/>
  <c r="F18" i="17"/>
  <c r="E18" i="17"/>
  <c r="D18" i="17"/>
  <c r="C18" i="17"/>
  <c r="K15" i="17"/>
  <c r="J15" i="17"/>
  <c r="I15" i="17"/>
  <c r="H15" i="17"/>
  <c r="G15" i="17"/>
  <c r="F15" i="17"/>
  <c r="E15" i="17"/>
  <c r="D15" i="17"/>
  <c r="C15" i="17"/>
  <c r="K12" i="17"/>
  <c r="J12" i="17"/>
  <c r="I12" i="17"/>
  <c r="H12" i="17"/>
  <c r="G12" i="17"/>
  <c r="F12" i="17"/>
  <c r="E12" i="17"/>
  <c r="D12" i="17"/>
  <c r="C12" i="17"/>
  <c r="K9" i="17"/>
  <c r="J9" i="17"/>
  <c r="I9" i="17"/>
  <c r="H9" i="17"/>
  <c r="G9" i="17"/>
  <c r="G10" i="17" s="1"/>
  <c r="F9" i="17"/>
  <c r="F10" i="17" s="1"/>
  <c r="E9" i="17"/>
  <c r="E10" i="17" s="1"/>
  <c r="D9" i="17"/>
  <c r="C9" i="17"/>
  <c r="K6" i="17"/>
  <c r="J6" i="17"/>
  <c r="I6" i="17"/>
  <c r="H6" i="17"/>
  <c r="G6" i="17"/>
  <c r="F6" i="17"/>
  <c r="E6" i="17"/>
  <c r="D6" i="17"/>
  <c r="C6" i="17"/>
  <c r="K3" i="17"/>
  <c r="K10" i="17" s="1"/>
  <c r="J3" i="17"/>
  <c r="I3" i="17"/>
  <c r="H3" i="17"/>
  <c r="G3" i="17"/>
  <c r="F3" i="17"/>
  <c r="E3" i="17"/>
  <c r="D3" i="17"/>
  <c r="C3" i="17"/>
  <c r="K2" i="17"/>
  <c r="J2" i="17"/>
  <c r="I2" i="17"/>
  <c r="H2" i="17"/>
  <c r="G2" i="17"/>
  <c r="F2" i="17"/>
  <c r="E2" i="17"/>
  <c r="D2" i="17"/>
  <c r="C2" i="17"/>
  <c r="E4" i="17"/>
  <c r="D4" i="17"/>
  <c r="E18" i="2"/>
  <c r="D19" i="7"/>
  <c r="I156" i="2"/>
  <c r="J156" i="2"/>
  <c r="K156" i="2"/>
  <c r="L156" i="2"/>
  <c r="H156" i="2"/>
  <c r="I150" i="2"/>
  <c r="J150" i="2"/>
  <c r="K150" i="2"/>
  <c r="L150" i="2"/>
  <c r="H150" i="2"/>
  <c r="N58" i="2"/>
  <c r="O58" i="2" s="1"/>
  <c r="P58" i="2" s="1"/>
  <c r="Q58" i="2" s="1"/>
  <c r="R58" i="2" s="1"/>
  <c r="N59" i="2"/>
  <c r="O59" i="2" s="1"/>
  <c r="P59" i="2" s="1"/>
  <c r="Q59" i="2" s="1"/>
  <c r="R59" i="2" s="1"/>
  <c r="I55" i="2"/>
  <c r="J55" i="2"/>
  <c r="K55" i="2"/>
  <c r="L55" i="2"/>
  <c r="H55" i="2"/>
  <c r="L40" i="2"/>
  <c r="I49" i="2"/>
  <c r="J49" i="2"/>
  <c r="K49" i="2"/>
  <c r="L49" i="2"/>
  <c r="I40" i="2"/>
  <c r="J40" i="2"/>
  <c r="K40" i="2"/>
  <c r="C8" i="9" a="1"/>
  <c r="I13" i="17" l="1"/>
  <c r="J13" i="17"/>
  <c r="F7" i="17"/>
  <c r="I7" i="17"/>
  <c r="J7" i="17"/>
  <c r="H13" i="17"/>
  <c r="O107" i="2"/>
  <c r="D20" i="18"/>
  <c r="Q78" i="2"/>
  <c r="P77" i="2"/>
  <c r="P76" i="2" s="1"/>
  <c r="H10" i="17"/>
  <c r="I10" i="17"/>
  <c r="J10" i="17"/>
  <c r="E16" i="17"/>
  <c r="D19" i="17"/>
  <c r="F19" i="17"/>
  <c r="E19" i="17"/>
  <c r="H7" i="17"/>
  <c r="H19" i="17"/>
  <c r="F16" i="17"/>
  <c r="I19" i="17"/>
  <c r="G16" i="17"/>
  <c r="J19" i="17"/>
  <c r="H16" i="17"/>
  <c r="F13" i="17"/>
  <c r="I16" i="17"/>
  <c r="K16" i="17"/>
  <c r="J16" i="17"/>
  <c r="C19" i="17"/>
  <c r="F4" i="17"/>
  <c r="G19" i="17"/>
  <c r="K7" i="17"/>
  <c r="K13" i="17"/>
  <c r="K19" i="17"/>
  <c r="C10" i="17"/>
  <c r="C16" i="17"/>
  <c r="D10" i="17"/>
  <c r="D16" i="17"/>
  <c r="G7" i="17"/>
  <c r="G13" i="17"/>
  <c r="E13" i="17"/>
  <c r="C7" i="17"/>
  <c r="C13" i="17"/>
  <c r="D7" i="17"/>
  <c r="D13" i="17"/>
  <c r="E7" i="17"/>
  <c r="G9" i="9"/>
  <c r="G10" i="9"/>
  <c r="G11" i="9"/>
  <c r="G12" i="9"/>
  <c r="C8" i="9"/>
  <c r="I70" i="2"/>
  <c r="J70" i="2"/>
  <c r="K70" i="2"/>
  <c r="L70" i="2"/>
  <c r="H70" i="2"/>
  <c r="H49" i="2"/>
  <c r="I64" i="2"/>
  <c r="J64" i="2"/>
  <c r="K64" i="2"/>
  <c r="L64" i="2"/>
  <c r="H64" i="2"/>
  <c r="D16" i="7"/>
  <c r="D15" i="7"/>
  <c r="D12" i="7"/>
  <c r="I31" i="2"/>
  <c r="J31" i="2"/>
  <c r="K31" i="2"/>
  <c r="L31" i="2"/>
  <c r="H31" i="2"/>
  <c r="I25" i="2"/>
  <c r="I56" i="2" s="1"/>
  <c r="J25" i="2"/>
  <c r="J56" i="2" s="1"/>
  <c r="K25" i="2"/>
  <c r="K56" i="2" s="1"/>
  <c r="L25" i="2"/>
  <c r="L56" i="2" s="1"/>
  <c r="H25" i="2"/>
  <c r="H56" i="2" s="1"/>
  <c r="C8" i="12"/>
  <c r="C15" i="12" s="1"/>
  <c r="D8" i="12"/>
  <c r="D15" i="12" s="1"/>
  <c r="E8" i="12"/>
  <c r="F8" i="12"/>
  <c r="E15" i="12"/>
  <c r="F15" i="12"/>
  <c r="C23" i="12"/>
  <c r="D23" i="12"/>
  <c r="E23" i="12"/>
  <c r="F23" i="12"/>
  <c r="C30" i="12"/>
  <c r="D30" i="12"/>
  <c r="E30" i="12"/>
  <c r="F30" i="12"/>
  <c r="R78" i="2" l="1"/>
  <c r="R77" i="2" s="1"/>
  <c r="Q77" i="2"/>
  <c r="Q76" i="2" s="1"/>
  <c r="M57" i="2"/>
  <c r="N57" i="2" s="1"/>
  <c r="O57" i="2" s="1"/>
  <c r="P57" i="2" s="1"/>
  <c r="Q57" i="2" s="1"/>
  <c r="R57" i="2" s="1"/>
  <c r="H33" i="2"/>
  <c r="E17" i="10"/>
  <c r="F17" i="10"/>
  <c r="D17" i="10"/>
  <c r="C17" i="10" a="1"/>
  <c r="C17" i="10" s="1"/>
  <c r="G113" i="2"/>
  <c r="H113" i="2" s="1"/>
  <c r="I113" i="2" s="1"/>
  <c r="J113" i="2" s="1"/>
  <c r="K113" i="2" s="1"/>
  <c r="L113" i="2" s="1"/>
  <c r="E115" i="2"/>
  <c r="E116" i="2" s="1"/>
  <c r="E117" i="2" s="1"/>
  <c r="E118" i="2" s="1"/>
  <c r="D34" i="8"/>
  <c r="E34" i="8"/>
  <c r="F34" i="8"/>
  <c r="D35" i="8"/>
  <c r="E35" i="8"/>
  <c r="F35" i="8"/>
  <c r="E33" i="8"/>
  <c r="F33" i="8"/>
  <c r="D33" i="8"/>
  <c r="F32" i="8"/>
  <c r="E32" i="8"/>
  <c r="D32" i="8"/>
  <c r="N23" i="8" a="1"/>
  <c r="N23" i="8" s="1"/>
  <c r="J32" i="8" s="1"/>
  <c r="Q23" i="8" a="1"/>
  <c r="Q23" i="8" s="1"/>
  <c r="M32" i="8" s="1"/>
  <c r="Q32" i="8" s="1"/>
  <c r="Q24" i="8" a="1"/>
  <c r="Q24" i="8" s="1"/>
  <c r="M33" i="8" s="1"/>
  <c r="Q33" i="8" s="1"/>
  <c r="P23" i="8" a="1"/>
  <c r="P23" i="8" s="1"/>
  <c r="L32" i="8" s="1"/>
  <c r="P32" i="8" s="1"/>
  <c r="O23" i="8" a="1"/>
  <c r="O23" i="8" s="1"/>
  <c r="K32" i="8" s="1"/>
  <c r="M26" i="8" a="1"/>
  <c r="M26" i="8" s="1"/>
  <c r="L26" i="8" a="1"/>
  <c r="L26" i="8" s="1"/>
  <c r="K26" i="8" a="1"/>
  <c r="K26" i="8" s="1"/>
  <c r="J26" i="8" a="1"/>
  <c r="J26" i="8" s="1"/>
  <c r="I26" i="8" a="1"/>
  <c r="I26" i="8" s="1"/>
  <c r="H26" i="8" a="1"/>
  <c r="H26" i="8" s="1"/>
  <c r="G26" i="8" a="1"/>
  <c r="G26" i="8" s="1"/>
  <c r="F26" i="8" a="1"/>
  <c r="F26" i="8" s="1"/>
  <c r="E26" i="8" a="1"/>
  <c r="E26" i="8" s="1"/>
  <c r="D26" i="8" a="1"/>
  <c r="D26" i="8" s="1"/>
  <c r="M25" i="8" a="1"/>
  <c r="M25" i="8" s="1"/>
  <c r="L25" i="8" a="1"/>
  <c r="L25" i="8" s="1"/>
  <c r="K25" i="8" a="1"/>
  <c r="K25" i="8" s="1"/>
  <c r="J25" i="8" a="1"/>
  <c r="J25" i="8" s="1"/>
  <c r="I25" i="8" a="1"/>
  <c r="I25" i="8" s="1"/>
  <c r="H25" i="8" a="1"/>
  <c r="H25" i="8" s="1"/>
  <c r="G25" i="8" a="1"/>
  <c r="G25" i="8" s="1"/>
  <c r="F25" i="8" a="1"/>
  <c r="F25" i="8" s="1"/>
  <c r="E25" i="8" a="1"/>
  <c r="E25" i="8" s="1"/>
  <c r="D25" i="8" a="1"/>
  <c r="D25" i="8" s="1"/>
  <c r="M24" i="8" a="1"/>
  <c r="M24" i="8" s="1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G24" i="8" a="1"/>
  <c r="G24" i="8" s="1"/>
  <c r="F24" i="8" a="1"/>
  <c r="F24" i="8" s="1"/>
  <c r="E24" i="8" a="1"/>
  <c r="E24" i="8" s="1"/>
  <c r="D24" i="8" a="1"/>
  <c r="D24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G23" i="8" a="1"/>
  <c r="G23" i="8" s="1"/>
  <c r="F23" i="8" a="1"/>
  <c r="F23" i="8" s="1"/>
  <c r="E23" i="8" a="1"/>
  <c r="E23" i="8" s="1"/>
  <c r="D23" i="8" a="1"/>
  <c r="D23" i="8" s="1"/>
  <c r="O26" i="8" a="1"/>
  <c r="O26" i="8" s="1"/>
  <c r="K35" i="8" s="1"/>
  <c r="P26" i="8" a="1"/>
  <c r="P26" i="8" s="1"/>
  <c r="L35" i="8" s="1"/>
  <c r="P35" i="8" s="1"/>
  <c r="Q26" i="8" a="1"/>
  <c r="Q26" i="8" s="1"/>
  <c r="M35" i="8" s="1"/>
  <c r="Q35" i="8" s="1"/>
  <c r="N26" i="8" a="1"/>
  <c r="N26" i="8" s="1"/>
  <c r="J35" i="8" s="1"/>
  <c r="O25" i="8" a="1"/>
  <c r="O25" i="8" s="1"/>
  <c r="K34" i="8" s="1"/>
  <c r="P25" i="8" a="1"/>
  <c r="P25" i="8" s="1"/>
  <c r="L34" i="8" s="1"/>
  <c r="P34" i="8" s="1"/>
  <c r="Q25" i="8" a="1"/>
  <c r="Q25" i="8" s="1"/>
  <c r="M34" i="8" s="1"/>
  <c r="Q34" i="8" s="1"/>
  <c r="N25" i="8" a="1"/>
  <c r="N25" i="8" s="1"/>
  <c r="J34" i="8" s="1"/>
  <c r="O24" i="8" a="1"/>
  <c r="O24" i="8" s="1"/>
  <c r="K33" i="8" s="1"/>
  <c r="P24" i="8" a="1"/>
  <c r="P24" i="8" s="1"/>
  <c r="L33" i="8" s="1"/>
  <c r="P33" i="8" s="1"/>
  <c r="N24" i="8" a="1"/>
  <c r="N24" i="8" s="1"/>
  <c r="J33" i="8" s="1"/>
  <c r="N12" i="8"/>
  <c r="O12" i="8"/>
  <c r="P12" i="8"/>
  <c r="Q12" i="8"/>
  <c r="N13" i="8"/>
  <c r="O13" i="8"/>
  <c r="P13" i="8"/>
  <c r="Q13" i="8"/>
  <c r="N16" i="8"/>
  <c r="O16" i="8"/>
  <c r="P16" i="8"/>
  <c r="Q16" i="8"/>
  <c r="N18" i="8"/>
  <c r="O18" i="8"/>
  <c r="P18" i="8"/>
  <c r="Q18" i="8"/>
  <c r="N20" i="8"/>
  <c r="O20" i="8"/>
  <c r="P20" i="8"/>
  <c r="Q20" i="8"/>
  <c r="N22" i="8"/>
  <c r="O22" i="8"/>
  <c r="P22" i="8"/>
  <c r="Q22" i="8"/>
  <c r="N11" i="8"/>
  <c r="O11" i="8"/>
  <c r="P11" i="8"/>
  <c r="Q11" i="8"/>
  <c r="J10" i="8"/>
  <c r="J11" i="8"/>
  <c r="J12" i="8"/>
  <c r="J13" i="8"/>
  <c r="J16" i="8"/>
  <c r="J17" i="8"/>
  <c r="J18" i="8"/>
  <c r="J20" i="8"/>
  <c r="J22" i="8"/>
  <c r="H11" i="8"/>
  <c r="H12" i="8"/>
  <c r="H13" i="8"/>
  <c r="H16" i="8"/>
  <c r="H17" i="8"/>
  <c r="H18" i="8"/>
  <c r="H20" i="8"/>
  <c r="H22" i="8"/>
  <c r="H10" i="8"/>
  <c r="H32" i="8"/>
  <c r="H33" i="8" s="1"/>
  <c r="H34" i="8" s="1"/>
  <c r="H35" i="8" s="1"/>
  <c r="R76" i="2" l="1"/>
  <c r="R107" i="2" s="1"/>
  <c r="G32" i="8" s="1"/>
  <c r="G33" i="8" s="1"/>
  <c r="G34" i="8" s="1"/>
  <c r="G35" i="8" s="1"/>
  <c r="U35" i="8" s="1"/>
  <c r="H12" i="10" s="1"/>
  <c r="F21" i="10" s="1"/>
  <c r="M56" i="2"/>
  <c r="N56" i="2"/>
  <c r="O56" i="2"/>
  <c r="I9" i="10"/>
  <c r="I12" i="10"/>
  <c r="F22" i="10" s="1"/>
  <c r="I10" i="10"/>
  <c r="I11" i="10"/>
  <c r="D22" i="10" s="1"/>
  <c r="T32" i="8" l="1"/>
  <c r="G9" i="10" s="1"/>
  <c r="U32" i="8"/>
  <c r="H9" i="10" s="1"/>
  <c r="T33" i="8"/>
  <c r="G10" i="10" s="1"/>
  <c r="U33" i="8"/>
  <c r="H10" i="10" s="1"/>
  <c r="T34" i="8"/>
  <c r="G11" i="10" s="1"/>
  <c r="D20" i="10" s="1"/>
  <c r="U34" i="8"/>
  <c r="H11" i="10" s="1"/>
  <c r="D21" i="10" s="1"/>
  <c r="E21" i="10" s="1"/>
  <c r="T35" i="8"/>
  <c r="G12" i="10" s="1"/>
  <c r="F20" i="10" s="1"/>
  <c r="P56" i="2"/>
  <c r="E22" i="10"/>
  <c r="D17" i="7"/>
  <c r="N96" i="2"/>
  <c r="O96" i="2" s="1"/>
  <c r="P96" i="2" s="1"/>
  <c r="Q96" i="2" s="1"/>
  <c r="R96" i="2" s="1"/>
  <c r="N94" i="2"/>
  <c r="O94" i="2" s="1"/>
  <c r="P94" i="2" s="1"/>
  <c r="Q94" i="2" s="1"/>
  <c r="R94" i="2" s="1"/>
  <c r="I158" i="2"/>
  <c r="L158" i="2"/>
  <c r="H158" i="2"/>
  <c r="N52" i="2"/>
  <c r="O52" i="2" s="1"/>
  <c r="P52" i="2" s="1"/>
  <c r="Q52" i="2" s="1"/>
  <c r="R52" i="2" s="1"/>
  <c r="N38" i="2"/>
  <c r="O38" i="2" s="1"/>
  <c r="P38" i="2" s="1"/>
  <c r="Q38" i="2" s="1"/>
  <c r="R38" i="2" s="1"/>
  <c r="I85" i="2"/>
  <c r="J85" i="2" s="1"/>
  <c r="K85" i="2" s="1"/>
  <c r="L85" i="2" s="1"/>
  <c r="I24" i="2"/>
  <c r="J24" i="2" s="1"/>
  <c r="K24" i="2" s="1"/>
  <c r="L24" i="2" s="1"/>
  <c r="M24" i="2" s="1"/>
  <c r="N24" i="2" s="1"/>
  <c r="O24" i="2" s="1"/>
  <c r="P24" i="2" s="1"/>
  <c r="Q24" i="2" s="1"/>
  <c r="R24" i="2" s="1"/>
  <c r="E20" i="10" l="1"/>
  <c r="R56" i="2"/>
  <c r="Q56" i="2"/>
  <c r="J154" i="2"/>
  <c r="L153" i="2"/>
  <c r="L26" i="2"/>
  <c r="I32" i="8"/>
  <c r="H151" i="2"/>
  <c r="K151" i="2"/>
  <c r="H154" i="2"/>
  <c r="H160" i="2" s="1"/>
  <c r="K154" i="2"/>
  <c r="N95" i="2"/>
  <c r="O95" i="2" s="1"/>
  <c r="P95" i="2" s="1"/>
  <c r="Q95" i="2" s="1"/>
  <c r="R95" i="2" s="1"/>
  <c r="J151" i="2"/>
  <c r="I151" i="2"/>
  <c r="K157" i="2"/>
  <c r="H153" i="2"/>
  <c r="J157" i="2"/>
  <c r="M96" i="2"/>
  <c r="I153" i="2"/>
  <c r="L154" i="2"/>
  <c r="L160" i="2" s="1"/>
  <c r="I157" i="2"/>
  <c r="K158" i="2"/>
  <c r="J153" i="2"/>
  <c r="J158" i="2"/>
  <c r="K153" i="2"/>
  <c r="L151" i="2"/>
  <c r="H157" i="2"/>
  <c r="L157" i="2"/>
  <c r="M157" i="2" s="1"/>
  <c r="N157" i="2" s="1"/>
  <c r="O157" i="2" s="1"/>
  <c r="P157" i="2" s="1"/>
  <c r="Q157" i="2" s="1"/>
  <c r="R157" i="2" s="1"/>
  <c r="M85" i="2"/>
  <c r="N85" i="2" s="1"/>
  <c r="O85" i="2" s="1"/>
  <c r="P85" i="2" s="1"/>
  <c r="Q85" i="2" s="1"/>
  <c r="R85" i="2" s="1"/>
  <c r="I154" i="2"/>
  <c r="I160" i="2" s="1"/>
  <c r="H65" i="2"/>
  <c r="K65" i="2"/>
  <c r="L65" i="2"/>
  <c r="M65" i="2" s="1"/>
  <c r="N65" i="2" s="1"/>
  <c r="O65" i="2" s="1"/>
  <c r="P65" i="2" s="1"/>
  <c r="Q65" i="2" s="1"/>
  <c r="R65" i="2" s="1"/>
  <c r="J65" i="2"/>
  <c r="I41" i="2"/>
  <c r="I65" i="2"/>
  <c r="H41" i="2"/>
  <c r="K41" i="2"/>
  <c r="J41" i="2"/>
  <c r="L41" i="2"/>
  <c r="L33" i="2"/>
  <c r="L34" i="2" s="1"/>
  <c r="H50" i="2"/>
  <c r="J50" i="2"/>
  <c r="I33" i="2"/>
  <c r="I34" i="2" s="1"/>
  <c r="K26" i="2"/>
  <c r="I50" i="2"/>
  <c r="J26" i="2"/>
  <c r="H34" i="2"/>
  <c r="L50" i="2"/>
  <c r="K50" i="2"/>
  <c r="I26" i="2"/>
  <c r="K33" i="2"/>
  <c r="J33" i="2"/>
  <c r="M27" i="2" l="1"/>
  <c r="N51" i="2"/>
  <c r="N53" i="2"/>
  <c r="O53" i="2" s="1"/>
  <c r="P53" i="2" s="1"/>
  <c r="Q53" i="2" s="1"/>
  <c r="R53" i="2" s="1"/>
  <c r="J160" i="2"/>
  <c r="J161" i="2" s="1"/>
  <c r="K160" i="2"/>
  <c r="I33" i="8"/>
  <c r="N32" i="8"/>
  <c r="R32" i="8" s="1"/>
  <c r="E9" i="10" s="1"/>
  <c r="O32" i="8"/>
  <c r="S32" i="8" s="1"/>
  <c r="F9" i="10" s="1"/>
  <c r="M153" i="2"/>
  <c r="N153" i="2" s="1"/>
  <c r="O153" i="2" s="1"/>
  <c r="P153" i="2" s="1"/>
  <c r="Q153" i="2" s="1"/>
  <c r="R153" i="2" s="1"/>
  <c r="M151" i="2"/>
  <c r="N151" i="2" s="1"/>
  <c r="O151" i="2" s="1"/>
  <c r="P151" i="2" s="1"/>
  <c r="Q151" i="2" s="1"/>
  <c r="R151" i="2" s="1"/>
  <c r="I161" i="2"/>
  <c r="I35" i="2"/>
  <c r="L43" i="2"/>
  <c r="I43" i="2"/>
  <c r="I44" i="2" s="1"/>
  <c r="H43" i="2"/>
  <c r="H44" i="2" s="1"/>
  <c r="J34" i="2"/>
  <c r="J35" i="2" s="1"/>
  <c r="J43" i="2"/>
  <c r="K34" i="2"/>
  <c r="K43" i="2"/>
  <c r="O51" i="2" l="1"/>
  <c r="N50" i="2"/>
  <c r="M50" i="2"/>
  <c r="K161" i="2"/>
  <c r="M29" i="2"/>
  <c r="N29" i="2" s="1"/>
  <c r="O29" i="2" s="1"/>
  <c r="P29" i="2" s="1"/>
  <c r="Q29" i="2" s="1"/>
  <c r="R29" i="2" s="1"/>
  <c r="M28" i="2"/>
  <c r="N28" i="2" s="1"/>
  <c r="O28" i="2" s="1"/>
  <c r="N27" i="2"/>
  <c r="L161" i="2"/>
  <c r="I34" i="8"/>
  <c r="O33" i="8"/>
  <c r="S33" i="8" s="1"/>
  <c r="F10" i="10" s="1"/>
  <c r="N33" i="8"/>
  <c r="R33" i="8" s="1"/>
  <c r="E10" i="10" s="1"/>
  <c r="K35" i="2"/>
  <c r="L44" i="2"/>
  <c r="M45" i="2" s="1"/>
  <c r="L61" i="2"/>
  <c r="L67" i="2" s="1"/>
  <c r="H61" i="2"/>
  <c r="H62" i="2" s="1"/>
  <c r="L35" i="2"/>
  <c r="I61" i="2"/>
  <c r="I62" i="2" s="1"/>
  <c r="J44" i="2"/>
  <c r="J61" i="2"/>
  <c r="K44" i="2"/>
  <c r="K61" i="2"/>
  <c r="P28" i="2" l="1"/>
  <c r="Q28" i="2" s="1"/>
  <c r="F8" i="19"/>
  <c r="M26" i="2"/>
  <c r="N45" i="2"/>
  <c r="P51" i="2"/>
  <c r="O50" i="2"/>
  <c r="N36" i="2"/>
  <c r="O36" i="2" s="1"/>
  <c r="P36" i="2" s="1"/>
  <c r="Q36" i="2" s="1"/>
  <c r="O27" i="2"/>
  <c r="N26" i="2"/>
  <c r="H67" i="2"/>
  <c r="H68" i="2" s="1"/>
  <c r="I35" i="8"/>
  <c r="N34" i="8"/>
  <c r="R34" i="8" s="1"/>
  <c r="E11" i="10" s="1"/>
  <c r="D18" i="10" s="1"/>
  <c r="O34" i="8"/>
  <c r="S34" i="8" s="1"/>
  <c r="F11" i="10" s="1"/>
  <c r="L62" i="2"/>
  <c r="N37" i="2"/>
  <c r="O37" i="2" s="1"/>
  <c r="P37" i="2" s="1"/>
  <c r="Q37" i="2" s="1"/>
  <c r="R37" i="2" s="1"/>
  <c r="I67" i="2"/>
  <c r="I71" i="2" s="1"/>
  <c r="L68" i="2"/>
  <c r="L73" i="2"/>
  <c r="L74" i="2" s="1"/>
  <c r="L71" i="2"/>
  <c r="J62" i="2"/>
  <c r="J67" i="2"/>
  <c r="K62" i="2"/>
  <c r="K67" i="2"/>
  <c r="P35" i="2" l="1"/>
  <c r="M46" i="2"/>
  <c r="N46" i="2" s="1"/>
  <c r="O46" i="2" s="1"/>
  <c r="P46" i="2" s="1"/>
  <c r="Q46" i="2" s="1"/>
  <c r="R46" i="2" s="1"/>
  <c r="M47" i="2"/>
  <c r="N47" i="2" s="1"/>
  <c r="O47" i="2" s="1"/>
  <c r="P47" i="2" s="1"/>
  <c r="Q47" i="2" s="1"/>
  <c r="R47" i="2" s="1"/>
  <c r="O45" i="2"/>
  <c r="N44" i="2"/>
  <c r="Q51" i="2"/>
  <c r="P50" i="2"/>
  <c r="H71" i="2"/>
  <c r="O35" i="2"/>
  <c r="H73" i="2"/>
  <c r="H74" i="2" s="1"/>
  <c r="P27" i="2"/>
  <c r="O26" i="2"/>
  <c r="R36" i="2"/>
  <c r="R35" i="2" s="1"/>
  <c r="Q35" i="2"/>
  <c r="D19" i="10"/>
  <c r="M35" i="2"/>
  <c r="M34" i="2" s="1"/>
  <c r="N35" i="2"/>
  <c r="O35" i="8"/>
  <c r="S35" i="8" s="1"/>
  <c r="F12" i="10" s="1"/>
  <c r="F19" i="10" s="1"/>
  <c r="N35" i="8"/>
  <c r="R35" i="8" s="1"/>
  <c r="E12" i="10" s="1"/>
  <c r="F18" i="10" s="1"/>
  <c r="E18" i="10" s="1"/>
  <c r="I68" i="2"/>
  <c r="I73" i="2"/>
  <c r="I74" i="2" s="1"/>
  <c r="K68" i="2"/>
  <c r="K73" i="2"/>
  <c r="K74" i="2" s="1"/>
  <c r="K71" i="2"/>
  <c r="J68" i="2"/>
  <c r="J73" i="2"/>
  <c r="J74" i="2" s="1"/>
  <c r="J71" i="2"/>
  <c r="M25" i="2"/>
  <c r="M55" i="2" s="1"/>
  <c r="M90" i="2" s="1"/>
  <c r="M44" i="2" l="1"/>
  <c r="M43" i="2" s="1"/>
  <c r="R51" i="2"/>
  <c r="R50" i="2" s="1"/>
  <c r="Q50" i="2"/>
  <c r="P45" i="2"/>
  <c r="O44" i="2"/>
  <c r="Q27" i="2"/>
  <c r="P26" i="2"/>
  <c r="E19" i="10"/>
  <c r="K10" i="10"/>
  <c r="N34" i="2"/>
  <c r="O34" i="2" s="1"/>
  <c r="P34" i="2" s="1"/>
  <c r="Q34" i="2" s="1"/>
  <c r="R34" i="2" s="1"/>
  <c r="M150" i="2"/>
  <c r="M152" i="2"/>
  <c r="M71" i="2"/>
  <c r="M49" i="2"/>
  <c r="M89" i="2" s="1"/>
  <c r="M64" i="2"/>
  <c r="M33" i="2"/>
  <c r="M31" i="2" s="1"/>
  <c r="N25" i="2"/>
  <c r="N152" i="2" l="1"/>
  <c r="N55" i="2"/>
  <c r="N90" i="2" s="1"/>
  <c r="M156" i="2"/>
  <c r="M158" i="2" s="1"/>
  <c r="Q45" i="2"/>
  <c r="R45" i="2" s="1"/>
  <c r="R44" i="2" s="1"/>
  <c r="P44" i="2"/>
  <c r="Q26" i="2"/>
  <c r="R27" i="2"/>
  <c r="R26" i="2" s="1"/>
  <c r="M87" i="2"/>
  <c r="D18" i="7"/>
  <c r="D21" i="7" s="1"/>
  <c r="M154" i="2"/>
  <c r="N64" i="2"/>
  <c r="N150" i="2"/>
  <c r="N71" i="2"/>
  <c r="N87" i="2" s="1"/>
  <c r="M61" i="2"/>
  <c r="N43" i="2"/>
  <c r="N49" i="2"/>
  <c r="N89" i="2" s="1"/>
  <c r="M40" i="2"/>
  <c r="M41" i="2" s="1"/>
  <c r="O25" i="2"/>
  <c r="N33" i="2"/>
  <c r="N31" i="2" s="1"/>
  <c r="O152" i="2" l="1"/>
  <c r="O55" i="2"/>
  <c r="O90" i="2" s="1"/>
  <c r="Q44" i="2"/>
  <c r="N156" i="2"/>
  <c r="N158" i="2" s="1"/>
  <c r="M160" i="2"/>
  <c r="M161" i="2" s="1"/>
  <c r="M91" i="2" s="1"/>
  <c r="O71" i="2"/>
  <c r="P71" i="2" s="1"/>
  <c r="M18" i="2"/>
  <c r="I18" i="2" s="1"/>
  <c r="N154" i="2"/>
  <c r="O64" i="2"/>
  <c r="O150" i="2"/>
  <c r="M62" i="2"/>
  <c r="M86" i="2"/>
  <c r="M88" i="2" s="1"/>
  <c r="M67" i="2"/>
  <c r="M68" i="2" s="1"/>
  <c r="N61" i="2"/>
  <c r="N86" i="2" s="1"/>
  <c r="N88" i="2" s="1"/>
  <c r="O43" i="2"/>
  <c r="O49" i="2"/>
  <c r="O89" i="2" s="1"/>
  <c r="N40" i="2"/>
  <c r="N41" i="2" s="1"/>
  <c r="P25" i="2"/>
  <c r="O33" i="2"/>
  <c r="O31" i="2" s="1"/>
  <c r="Q18" i="2" l="1"/>
  <c r="E17" i="2"/>
  <c r="O154" i="2"/>
  <c r="P152" i="2"/>
  <c r="P55" i="2"/>
  <c r="P90" i="2" s="1"/>
  <c r="M92" i="2"/>
  <c r="M98" i="2" s="1"/>
  <c r="N160" i="2"/>
  <c r="N161" i="2" s="1"/>
  <c r="N91" i="2" s="1"/>
  <c r="N92" i="2" s="1"/>
  <c r="O156" i="2"/>
  <c r="O158" i="2" s="1"/>
  <c r="O87" i="2"/>
  <c r="P64" i="2"/>
  <c r="P150" i="2"/>
  <c r="Q71" i="2"/>
  <c r="P87" i="2"/>
  <c r="M70" i="2"/>
  <c r="M73" i="2" s="1"/>
  <c r="M74" i="2" s="1"/>
  <c r="N62" i="2"/>
  <c r="N67" i="2"/>
  <c r="O61" i="2"/>
  <c r="O86" i="2" s="1"/>
  <c r="P43" i="2"/>
  <c r="P49" i="2"/>
  <c r="P89" i="2" s="1"/>
  <c r="O40" i="2"/>
  <c r="O41" i="2" s="1"/>
  <c r="Q25" i="2"/>
  <c r="P33" i="2"/>
  <c r="P31" i="2" s="1"/>
  <c r="N98" i="2" l="1"/>
  <c r="O160" i="2"/>
  <c r="O161" i="2" s="1"/>
  <c r="O91" i="2" s="1"/>
  <c r="P154" i="2"/>
  <c r="Q152" i="2"/>
  <c r="Q55" i="2"/>
  <c r="Q90" i="2" s="1"/>
  <c r="P156" i="2"/>
  <c r="P158" i="2" s="1"/>
  <c r="O88" i="2"/>
  <c r="Q64" i="2"/>
  <c r="Q150" i="2"/>
  <c r="R71" i="2"/>
  <c r="R87" i="2" s="1"/>
  <c r="Q87" i="2"/>
  <c r="N68" i="2"/>
  <c r="N70" i="2"/>
  <c r="N73" i="2" s="1"/>
  <c r="N74" i="2" s="1"/>
  <c r="O62" i="2"/>
  <c r="O67" i="2"/>
  <c r="P61" i="2"/>
  <c r="P86" i="2" s="1"/>
  <c r="P88" i="2" s="1"/>
  <c r="Q43" i="2"/>
  <c r="Q49" i="2"/>
  <c r="Q89" i="2" s="1"/>
  <c r="P40" i="2"/>
  <c r="P41" i="2" s="1"/>
  <c r="R25" i="2"/>
  <c r="R55" i="2" s="1"/>
  <c r="R90" i="2" s="1"/>
  <c r="Q33" i="2"/>
  <c r="Q31" i="2" s="1"/>
  <c r="Q154" i="2" l="1"/>
  <c r="P160" i="2"/>
  <c r="P161" i="2" s="1"/>
  <c r="P91" i="2" s="1"/>
  <c r="P92" i="2" s="1"/>
  <c r="P98" i="2" s="1"/>
  <c r="O92" i="2"/>
  <c r="Q156" i="2"/>
  <c r="Q158" i="2" s="1"/>
  <c r="R150" i="2"/>
  <c r="R152" i="2"/>
  <c r="O68" i="2"/>
  <c r="O70" i="2"/>
  <c r="O73" i="2" s="1"/>
  <c r="O74" i="2" s="1"/>
  <c r="P62" i="2"/>
  <c r="P67" i="2"/>
  <c r="R49" i="2"/>
  <c r="R89" i="2" s="1"/>
  <c r="R64" i="2"/>
  <c r="Q61" i="2"/>
  <c r="Q86" i="2" s="1"/>
  <c r="Q88" i="2" s="1"/>
  <c r="Q40" i="2"/>
  <c r="Q41" i="2" s="1"/>
  <c r="R33" i="2"/>
  <c r="R31" i="2" s="1"/>
  <c r="R43" i="2"/>
  <c r="O98" i="2" l="1"/>
  <c r="D14" i="18" s="1"/>
  <c r="O100" i="2" a="1"/>
  <c r="O100" i="2" s="1"/>
  <c r="O101" i="2" s="1"/>
  <c r="D15" i="18" s="1"/>
  <c r="Q160" i="2"/>
  <c r="Q161" i="2" s="1"/>
  <c r="Q91" i="2" s="1"/>
  <c r="Q92" i="2" s="1"/>
  <c r="R156" i="2"/>
  <c r="R158" i="2" s="1"/>
  <c r="R154" i="2"/>
  <c r="R61" i="2"/>
  <c r="P68" i="2"/>
  <c r="P70" i="2"/>
  <c r="P73" i="2" s="1"/>
  <c r="P74" i="2" s="1"/>
  <c r="Q62" i="2"/>
  <c r="Q67" i="2"/>
  <c r="R40" i="2"/>
  <c r="R41" i="2" s="1"/>
  <c r="D16" i="18" l="1"/>
  <c r="D14" i="19"/>
  <c r="D15" i="19"/>
  <c r="O103" i="2"/>
  <c r="O106" i="2" s="1"/>
  <c r="O108" i="2" s="1"/>
  <c r="M8" i="2" s="1"/>
  <c r="M9" i="2" s="1"/>
  <c r="Q98" i="2"/>
  <c r="R160" i="2"/>
  <c r="R161" i="2" s="1"/>
  <c r="R91" i="2" s="1"/>
  <c r="R67" i="2"/>
  <c r="R68" i="2" s="1"/>
  <c r="R86" i="2"/>
  <c r="R88" i="2" s="1"/>
  <c r="R62" i="2"/>
  <c r="Q68" i="2"/>
  <c r="Q70" i="2"/>
  <c r="Q73" i="2" s="1"/>
  <c r="Q74" i="2" s="1"/>
  <c r="R92" i="2" l="1"/>
  <c r="R70" i="2"/>
  <c r="R73" i="2" s="1"/>
  <c r="R74" i="2" s="1"/>
  <c r="R100" i="2" l="1" a="1"/>
  <c r="R100" i="2" s="1"/>
  <c r="R101" i="2" s="1"/>
  <c r="R98" i="2"/>
  <c r="D19" i="18" l="1"/>
  <c r="D21" i="18" s="1"/>
  <c r="D24" i="18" s="1"/>
  <c r="R103" i="2"/>
  <c r="R106" i="2" s="1"/>
  <c r="R108" i="2" s="1"/>
  <c r="I8" i="2" s="1"/>
  <c r="I9" i="2" s="1"/>
  <c r="D25" i="18" l="1"/>
  <c r="E113" i="2"/>
  <c r="G4" i="17" l="1"/>
  <c r="H4" i="17" l="1"/>
  <c r="I4" i="17" l="1"/>
  <c r="J4" i="17" l="1"/>
  <c r="K4" i="1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5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</futureMetadata>
  <cellMetadata count="1">
    <bk>
      <rc t="1" v="0"/>
    </bk>
  </cellMetadata>
  <valueMetadata count="55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</valueMetadata>
</metadata>
</file>

<file path=xl/sharedStrings.xml><?xml version="1.0" encoding="utf-8"?>
<sst xmlns="http://schemas.openxmlformats.org/spreadsheetml/2006/main" count="469" uniqueCount="295">
  <si>
    <t>X</t>
  </si>
  <si>
    <t>DCF</t>
  </si>
  <si>
    <t>Football chart</t>
  </si>
  <si>
    <t>DCF model</t>
  </si>
  <si>
    <t>Overview</t>
  </si>
  <si>
    <t>•</t>
  </si>
  <si>
    <t>Assumptions</t>
  </si>
  <si>
    <t>Income statement</t>
  </si>
  <si>
    <t>Actuals</t>
  </si>
  <si>
    <t>Projections</t>
  </si>
  <si>
    <t>End</t>
  </si>
  <si>
    <t>Ticker</t>
  </si>
  <si>
    <t>Comp name</t>
  </si>
  <si>
    <t>Date</t>
  </si>
  <si>
    <t>Price per share</t>
  </si>
  <si>
    <t>% delta vs current</t>
  </si>
  <si>
    <t>Triggers</t>
  </si>
  <si>
    <t>Year</t>
  </si>
  <si>
    <t>Amount</t>
  </si>
  <si>
    <t>Conservative</t>
  </si>
  <si>
    <t>Base / Street</t>
  </si>
  <si>
    <t>Optimistic</t>
  </si>
  <si>
    <t>Net Income</t>
  </si>
  <si>
    <t>EBITDA</t>
  </si>
  <si>
    <t>EBIT</t>
  </si>
  <si>
    <t>Revenue</t>
  </si>
  <si>
    <t>% growth</t>
  </si>
  <si>
    <t>COGS</t>
  </si>
  <si>
    <t>% sales</t>
  </si>
  <si>
    <t>Gross profit</t>
  </si>
  <si>
    <t>% margin</t>
  </si>
  <si>
    <t>Opex</t>
  </si>
  <si>
    <t>D&amp;A</t>
  </si>
  <si>
    <t>Interests</t>
  </si>
  <si>
    <t>Taxable income</t>
  </si>
  <si>
    <t>Net income</t>
  </si>
  <si>
    <t>(1-Tax)</t>
  </si>
  <si>
    <t>EBIAT (or NOPAT)</t>
  </si>
  <si>
    <t>Plus D&amp;A</t>
  </si>
  <si>
    <t>Less Capex</t>
  </si>
  <si>
    <t>Less Change in WC</t>
  </si>
  <si>
    <t>Free Cash Flow</t>
  </si>
  <si>
    <t>Mid year convention DP</t>
  </si>
  <si>
    <t>Discounted FCF</t>
  </si>
  <si>
    <t>Terminal value</t>
  </si>
  <si>
    <t>Discounted TV</t>
  </si>
  <si>
    <t>Enterprise value</t>
  </si>
  <si>
    <t>Plus Cash</t>
  </si>
  <si>
    <t>Less Debt</t>
  </si>
  <si>
    <t>Equity value</t>
  </si>
  <si>
    <t>Number of shares</t>
  </si>
  <si>
    <t>Taxes</t>
  </si>
  <si>
    <t>% tax rate</t>
  </si>
  <si>
    <t>1. Base</t>
  </si>
  <si>
    <t>2. Conservative</t>
  </si>
  <si>
    <t>3. Optimistic</t>
  </si>
  <si>
    <t>Scenario</t>
  </si>
  <si>
    <t>Revenue gr</t>
  </si>
  <si>
    <t>EBITDA margin</t>
  </si>
  <si>
    <t>Capex</t>
  </si>
  <si>
    <t>Goodwill</t>
  </si>
  <si>
    <t>Working Cap</t>
  </si>
  <si>
    <t>AR</t>
  </si>
  <si>
    <t>inventories</t>
  </si>
  <si>
    <t>Tot current assets</t>
  </si>
  <si>
    <t>AP</t>
  </si>
  <si>
    <t>Tot current liab</t>
  </si>
  <si>
    <t>WC</t>
  </si>
  <si>
    <t>Change in WC</t>
  </si>
  <si>
    <t>% COGS</t>
  </si>
  <si>
    <t>Discount period not corrected</t>
  </si>
  <si>
    <t>Fraction of year left</t>
  </si>
  <si>
    <t>WACC</t>
  </si>
  <si>
    <t>Ke = Rf + Beta * (Rm - Rf)</t>
  </si>
  <si>
    <t>Rm - Rf = MRP</t>
  </si>
  <si>
    <t>WACC =  kE*(E/E+D) + kd * D/D+E * (1-tax)</t>
  </si>
  <si>
    <t>Rf</t>
  </si>
  <si>
    <t>Beta</t>
  </si>
  <si>
    <t>MRP</t>
  </si>
  <si>
    <t>Ke</t>
  </si>
  <si>
    <t>E</t>
  </si>
  <si>
    <t>D</t>
  </si>
  <si>
    <t>E%</t>
  </si>
  <si>
    <t>D%</t>
  </si>
  <si>
    <t>Kd</t>
  </si>
  <si>
    <t>1-Tax</t>
  </si>
  <si>
    <t>10-yr treas yield - google</t>
  </si>
  <si>
    <t>Damodoran</t>
  </si>
  <si>
    <t>BS</t>
  </si>
  <si>
    <t>TGR</t>
  </si>
  <si>
    <t>Valuation USD</t>
  </si>
  <si>
    <t>€M</t>
  </si>
  <si>
    <t>Comps</t>
  </si>
  <si>
    <t>Name</t>
  </si>
  <si>
    <t>Tyson Foods</t>
  </si>
  <si>
    <t>Starbucks</t>
  </si>
  <si>
    <t>Chipotle</t>
  </si>
  <si>
    <t>Burger King</t>
  </si>
  <si>
    <t>KFC</t>
  </si>
  <si>
    <t>Domino's Pizza</t>
  </si>
  <si>
    <t>Jack In The Box</t>
  </si>
  <si>
    <t>Papa John's</t>
  </si>
  <si>
    <t>Subway</t>
  </si>
  <si>
    <t>Wendy's</t>
  </si>
  <si>
    <t>Chick-fil-A</t>
  </si>
  <si>
    <t>Shake Shack</t>
  </si>
  <si>
    <t>McDonald's</t>
  </si>
  <si>
    <t>Market Cap</t>
  </si>
  <si>
    <t>EV / Revenue</t>
  </si>
  <si>
    <t>EV / EBITDA</t>
  </si>
  <si>
    <t>P / E</t>
  </si>
  <si>
    <t>McD Valuation</t>
  </si>
  <si>
    <t>P / Sales</t>
  </si>
  <si>
    <t>Median</t>
  </si>
  <si>
    <t>25th percentile</t>
  </si>
  <si>
    <t>75th percentile</t>
  </si>
  <si>
    <t>EV</t>
  </si>
  <si>
    <t>Price / share</t>
  </si>
  <si>
    <t>Employees</t>
  </si>
  <si>
    <t>all values in B USD</t>
  </si>
  <si>
    <t>EBITDA %</t>
  </si>
  <si>
    <t>NI %</t>
  </si>
  <si>
    <t>Rev growth</t>
  </si>
  <si>
    <t>Mean</t>
  </si>
  <si>
    <t>Selected?</t>
  </si>
  <si>
    <t>Valuation</t>
  </si>
  <si>
    <t># Shares</t>
  </si>
  <si>
    <t>Cash</t>
  </si>
  <si>
    <t>Debt</t>
  </si>
  <si>
    <t>Share price</t>
  </si>
  <si>
    <t>Summary</t>
  </si>
  <si>
    <t>52-wk Range</t>
  </si>
  <si>
    <t>Metrics</t>
  </si>
  <si>
    <t>Sensitivity analysis</t>
  </si>
  <si>
    <t>Base case</t>
  </si>
  <si>
    <t>Conservative case</t>
  </si>
  <si>
    <t>Optimistic case</t>
  </si>
  <si>
    <t>Dynamic</t>
  </si>
  <si>
    <t>Method</t>
  </si>
  <si>
    <t>Min</t>
  </si>
  <si>
    <t>Difference</t>
  </si>
  <si>
    <t>Max</t>
  </si>
  <si>
    <t>Total liabilities and stockholders’ equity</t>
  </si>
  <si>
    <t>Total stockholders’ equity</t>
  </si>
  <si>
    <t>Treasury stock, at cost (188 and 160 shares, respectively)</t>
  </si>
  <si>
    <t>Accumulated other comprehensive income (loss)</t>
  </si>
  <si>
    <t>Retained earnings</t>
  </si>
  <si>
    <t>Additional paid-in capital</t>
  </si>
  <si>
    <t>Common stock, $0.0001 par value; 900 shares authorized; 601 shares issued;  413 and 441 shares outstanding, respectively</t>
  </si>
  <si>
    <t>Preferred stock, $0.0001 par value; 2 shares authorized; none issued</t>
  </si>
  <si>
    <t>Stockholders’ equity:</t>
  </si>
  <si>
    <t>Commitments and contingencies</t>
  </si>
  <si>
    <t>Total liabilities</t>
  </si>
  <si>
    <t>Other liabilities</t>
  </si>
  <si>
    <t>Operating lease liabilities</t>
  </si>
  <si>
    <t>Income taxes payable</t>
  </si>
  <si>
    <t>Deferred revenue</t>
  </si>
  <si>
    <t>Long-term liabilities:</t>
  </si>
  <si>
    <t>Total current liabilities</t>
  </si>
  <si>
    <t>Accrued expenses and other current liabilities</t>
  </si>
  <si>
    <t>Trade payables</t>
  </si>
  <si>
    <t>Current liabilities:</t>
  </si>
  <si>
    <t>Total assets</t>
  </si>
  <si>
    <t>Other assets</t>
  </si>
  <si>
    <t>Deferred income taxes</t>
  </si>
  <si>
    <t>Other intangibles, net</t>
  </si>
  <si>
    <t>Operating lease right-of-use assets, net</t>
  </si>
  <si>
    <t>Property and equipment, net</t>
  </si>
  <si>
    <t>Total current assets</t>
  </si>
  <si>
    <t>Prepaid expenses and other current assets</t>
  </si>
  <si>
    <t>Trade receivables, net of allowances for doubtful accounts of $13 and of $14, respectively</t>
  </si>
  <si>
    <t>Short-term investments</t>
  </si>
  <si>
    <t>Cash and cash equivalents</t>
  </si>
  <si>
    <t>Current assets:</t>
  </si>
  <si>
    <t>$ in Millions</t>
  </si>
  <si>
    <t>Nov. 28, 2025</t>
  </si>
  <si>
    <t>Nov. 29, 2024</t>
  </si>
  <si>
    <t>Dec. 01, 2023</t>
  </si>
  <si>
    <t>Dec. 02, 2022</t>
  </si>
  <si>
    <t>Dec. 03, 2021</t>
  </si>
  <si>
    <t>Consolidated Balance Sheets - USD ($)</t>
  </si>
  <si>
    <t>Cost of revenue</t>
  </si>
  <si>
    <t>  Cost of revenue:</t>
  </si>
  <si>
    <t>Revenue:</t>
  </si>
  <si>
    <t>Services and other</t>
  </si>
  <si>
    <t>Product</t>
  </si>
  <si>
    <t>Subscription</t>
  </si>
  <si>
    <t>Shares used to compute diluted net income per share (in shares)</t>
  </si>
  <si>
    <t>Diluted net income per share (in usd per share)</t>
  </si>
  <si>
    <t>Shares used to compute basic net income per share (in shares)</t>
  </si>
  <si>
    <t>Basic net income per share (in usd per share)</t>
  </si>
  <si>
    <t>Provision for income taxes</t>
  </si>
  <si>
    <t>Income before income taxes</t>
  </si>
  <si>
    <t>Total non-operating income (expense), net</t>
  </si>
  <si>
    <t>Other income (expense), net</t>
  </si>
  <si>
    <t>Investment gains (losses), net</t>
  </si>
  <si>
    <t>Interest expense</t>
  </si>
  <si>
    <t>  Non-operating income (expense):</t>
  </si>
  <si>
    <t>  Operating income</t>
  </si>
  <si>
    <t>Total operating expenses</t>
  </si>
  <si>
    <t>Amortization of intangibles</t>
  </si>
  <si>
    <t>Acquisition termination fee</t>
  </si>
  <si>
    <t>General and administrative</t>
  </si>
  <si>
    <t>Sales and marketing</t>
  </si>
  <si>
    <t>Research and development</t>
  </si>
  <si>
    <t>  Operating expenses:</t>
  </si>
  <si>
    <t>  Gross profit</t>
  </si>
  <si>
    <t>shares in Millions, $ in Millions</t>
  </si>
  <si>
    <t>12 Months Ended</t>
  </si>
  <si>
    <t>Consolidated Statements of Income - USD ($)</t>
  </si>
  <si>
    <t>Cash paid for interest</t>
  </si>
  <si>
    <t>Cash paid for income taxes, net of refunds</t>
  </si>
  <si>
    <t>Supplemental disclosures:</t>
  </si>
  <si>
    <t>Cash and cash equivalents at end of year</t>
  </si>
  <si>
    <t>Cash and cash equivalents at beginning of year</t>
  </si>
  <si>
    <t>Net change in cash and cash equivalents</t>
  </si>
  <si>
    <t>Effect of foreign currency exchange rates on cash and cash equivalents</t>
  </si>
  <si>
    <t>Net cash used for financing activities</t>
  </si>
  <si>
    <t>Other financing activities, net</t>
  </si>
  <si>
    <t>Repayment of debt</t>
  </si>
  <si>
    <t>Proceeds from issuance of debt</t>
  </si>
  <si>
    <t>Taxes paid related to net share settlement of equity awards</t>
  </si>
  <si>
    <t>Proceeds from re-issuance of treasury stock</t>
  </si>
  <si>
    <t>Repurchases of common stock</t>
  </si>
  <si>
    <t>Cash flows from financing activities:</t>
  </si>
  <si>
    <t>Net cash provided by (used for) investing activities</t>
  </si>
  <si>
    <t>Other investing activities, net</t>
  </si>
  <si>
    <t>Purchases of long-term investments, intangibles and other assets</t>
  </si>
  <si>
    <t>Purchases of property and equipment</t>
  </si>
  <si>
    <t>Acquisitions, net of cash acquired</t>
  </si>
  <si>
    <t>Proceeds from sales of short-term investments</t>
  </si>
  <si>
    <t>Maturities of short-term investments</t>
  </si>
  <si>
    <t>Purchases of short-term investments</t>
  </si>
  <si>
    <t>Cash flows from investing activities:</t>
  </si>
  <si>
    <t>Net cash provided by operating activities</t>
  </si>
  <si>
    <t>Accrued expenses and other liabilities</t>
  </si>
  <si>
    <t>Prepaid expenses and other assets</t>
  </si>
  <si>
    <t>Trade receivables, net</t>
  </si>
  <si>
    <t>Changes in operating assets and liabilities, net of acquired assets and assumed liabilities:</t>
  </si>
  <si>
    <t>Other non-cash items</t>
  </si>
  <si>
    <t>(4</t>
  </si>
  <si>
    <t>Unrealized losses (gains) on investments, net</t>
  </si>
  <si>
    <t>Lease-related asset impairments</t>
  </si>
  <si>
    <t>Stock-based compensation</t>
  </si>
  <si>
    <t>Depreciation, amortization and accretion</t>
  </si>
  <si>
    <t>Adjustments to reconcile net income to net cash provided by operating activities:</t>
  </si>
  <si>
    <t>Cash flows from operating activities:</t>
  </si>
  <si>
    <t>Consolidated Statements of Cash Flows - USD ($)</t>
  </si>
  <si>
    <t>Yf</t>
  </si>
  <si>
    <t>ADBE</t>
  </si>
  <si>
    <t>Adobe Inc.</t>
  </si>
  <si>
    <t>Growth</t>
  </si>
  <si>
    <t>Margin</t>
  </si>
  <si>
    <t>Tax</t>
  </si>
  <si>
    <t>Equity Value</t>
  </si>
  <si>
    <t>Upside/Downside</t>
  </si>
  <si>
    <t>Gross Profit</t>
  </si>
  <si>
    <t>SG&amp;A</t>
  </si>
  <si>
    <t>Operating Income</t>
  </si>
  <si>
    <t>Interest Expense</t>
  </si>
  <si>
    <t>EBT</t>
  </si>
  <si>
    <t>Sh. Out.</t>
  </si>
  <si>
    <t>EPS</t>
  </si>
  <si>
    <t>FCF</t>
  </si>
  <si>
    <t>Net Leverage</t>
  </si>
  <si>
    <t>Shares Out.</t>
  </si>
  <si>
    <t>TEV</t>
  </si>
  <si>
    <t>Net Debt</t>
  </si>
  <si>
    <t>3-Year Price Target</t>
  </si>
  <si>
    <t>IRR</t>
  </si>
  <si>
    <t>Base</t>
  </si>
  <si>
    <t>Bull</t>
  </si>
  <si>
    <t>Bear</t>
  </si>
  <si>
    <t>FY2028</t>
  </si>
  <si>
    <t>3yr Growth</t>
  </si>
  <si>
    <t>Conversion</t>
  </si>
  <si>
    <t>Price Target</t>
  </si>
  <si>
    <t>Risk/Reward vs Bear Case</t>
  </si>
  <si>
    <t>VALUATION</t>
  </si>
  <si>
    <t>SCENARIOS</t>
  </si>
  <si>
    <t>26-'31</t>
  </si>
  <si>
    <t>Valuation in 3Y</t>
  </si>
  <si>
    <t>DCF Valuation Summary</t>
  </si>
  <si>
    <t>PV of TV</t>
  </si>
  <si>
    <t>Implied Enterprise Value</t>
  </si>
  <si>
    <t>PV of FCFs</t>
  </si>
  <si>
    <t>(+) Cash</t>
  </si>
  <si>
    <t>(-) Debt</t>
  </si>
  <si>
    <t>Implied Equity Value</t>
  </si>
  <si>
    <t>Return Profile</t>
  </si>
  <si>
    <t>Total Upside / Downside</t>
  </si>
  <si>
    <t>Implied IRR</t>
  </si>
  <si>
    <t>Revenue (Mln)</t>
  </si>
  <si>
    <t>Adobe Inc. (NASDAQ: ADBE)</t>
  </si>
  <si>
    <t>Share Price [as of 02/09/2026]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</si>
</sst>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_);[Red]\(&quot;$&quot;#,##0\)"/>
    <numFmt numFmtId="8" formatCode="&quot;$&quot;#,##0.00_);[Red]\(&quot;$&quot;#,##0.00\)"/>
    <numFmt numFmtId="164" formatCode="_-* #,##0.00\ [$USD]_-;\-* #,##0.00\ [$USD]_-;_-* &quot;-&quot;??\ [$USD]_-;_-@_-"/>
    <numFmt numFmtId="165" formatCode="#,##0;\(#,##0\);&quot;--&quot;"/>
    <numFmt numFmtId="166" formatCode="0.0%"/>
    <numFmt numFmtId="167" formatCode="#,##0.00;\(#,##0.00\);&quot;--&quot;"/>
    <numFmt numFmtId="169" formatCode="0.0000"/>
    <numFmt numFmtId="170" formatCode="0.00&quot;x&quot;"/>
    <numFmt numFmtId="171" formatCode="000&quot; Mln&quot;"/>
    <numFmt numFmtId="172" formatCode="_-* #,##0\ [$USD]_-;\-* #,##0\ [$USD]_-;_-* &quot;-&quot;??\ [$USD]_-;_-@_-"/>
    <numFmt numFmtId="173" formatCode="_([$$-409]* #,##0.00_);_([$$-409]* \(#,##0.00\);_([$$-409]* &quot;-&quot;??_);_(@_)"/>
    <numFmt numFmtId="174" formatCode=";;;"/>
    <numFmt numFmtId="175" formatCode="_-[$$-409]* #,##0.00_ ;_-[$$-409]* \-#,##0.00\ ;_-[$$-409]* &quot;-&quot;??_ ;_-@_ "/>
    <numFmt numFmtId="176" formatCode="0\A"/>
    <numFmt numFmtId="177" formatCode="&quot;$&quot;#,##0"/>
    <numFmt numFmtId="178" formatCode="0.0"/>
    <numFmt numFmtId="179" formatCode="&quot;$&quot;#,##0.00"/>
    <numFmt numFmtId="180" formatCode="0.0\x"/>
    <numFmt numFmtId="181" formatCode="#,#00"/>
    <numFmt numFmtId="182" formatCode="&quot;$&quot;#,##0;\(&quot;$&quot;#,##0\)"/>
    <numFmt numFmtId="183" formatCode="#,###&quot;M&quot;;\(#,##0.0&quot;M&quot;\)"/>
  </numFmts>
  <fonts count="4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u val="singleAccounting"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2"/>
      <color rgb="FF05B050"/>
      <name val="Aptos Narrow"/>
      <family val="2"/>
      <scheme val="minor"/>
    </font>
    <font>
      <i/>
      <sz val="12"/>
      <color rgb="FF0432FF"/>
      <name val="Aptos Narrow"/>
      <family val="2"/>
      <scheme val="minor"/>
    </font>
    <font>
      <sz val="12"/>
      <color rgb="FF0432FF"/>
      <name val="Aptos Narrow"/>
      <family val="2"/>
      <scheme val="minor"/>
    </font>
    <font>
      <sz val="12"/>
      <color rgb="FF05B05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rgb="FF0432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u val="singleAccounting"/>
      <sz val="9"/>
      <color theme="1"/>
      <name val="Aptos Narrow"/>
      <family val="2"/>
      <scheme val="minor"/>
    </font>
    <font>
      <u val="singleAccounting"/>
      <sz val="9"/>
      <color theme="1"/>
      <name val="Aptos Narrow"/>
      <family val="2"/>
      <scheme val="minor"/>
    </font>
    <font>
      <u val="singleAccounting"/>
      <sz val="12"/>
      <color theme="1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theme="1"/>
      <name val="Aptos Narrow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ptos Narrow"/>
      <family val="2"/>
    </font>
    <font>
      <i/>
      <sz val="9"/>
      <color theme="1"/>
      <name val="Aptos Narrow"/>
      <family val="2"/>
    </font>
    <font>
      <i/>
      <sz val="9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ptos Narrow"/>
      <family val="2"/>
    </font>
    <font>
      <b/>
      <sz val="11"/>
      <color rgb="FF05B050"/>
      <name val="Aptos Narrow"/>
      <family val="2"/>
    </font>
    <font>
      <b/>
      <sz val="11"/>
      <color rgb="FFFF0000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E27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AACC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rgb="FFAACCFF"/>
      </top>
      <bottom/>
      <diagonal/>
    </border>
    <border>
      <left/>
      <right/>
      <top/>
      <bottom style="thick">
        <color rgb="FFAACCFF"/>
      </bottom>
      <diagonal/>
    </border>
    <border>
      <left/>
      <right style="thick">
        <color rgb="FFAACCFF"/>
      </right>
      <top/>
      <bottom style="thick">
        <color rgb="FFAACCFF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AACCFF"/>
      </right>
      <top/>
      <bottom style="medium">
        <color rgb="FF000000"/>
      </bottom>
      <diagonal/>
    </border>
    <border>
      <left/>
      <right style="thick">
        <color rgb="FFAACCFF"/>
      </right>
      <top/>
      <bottom/>
      <diagonal/>
    </border>
    <border>
      <left/>
      <right style="thick">
        <color rgb="FFAACCFF"/>
      </right>
      <top style="thick">
        <color rgb="FFAACCFF"/>
      </top>
      <bottom/>
      <diagonal/>
    </border>
    <border>
      <left style="thick">
        <color rgb="FFAACCFF"/>
      </left>
      <right/>
      <top/>
      <bottom/>
      <diagonal/>
    </border>
    <border>
      <left style="thick">
        <color rgb="FFAACCFF"/>
      </left>
      <right/>
      <top style="thick">
        <color rgb="FFAACCFF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auto="1"/>
      </bottom>
      <diagonal/>
    </border>
  </borders>
  <cellStyleXfs count="5">
    <xf numFmtId="0" fontId="0" fillId="0" borderId="0"/>
    <xf numFmtId="0" fontId="3" fillId="2" borderId="1" applyNumberFormat="0" applyFont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</cellStyleXfs>
  <cellXfs count="330">
    <xf numFmtId="0" fontId="0" fillId="0" borderId="0" xfId="0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6" fillId="4" borderId="0" xfId="0" applyFont="1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6" fillId="5" borderId="0" xfId="0" applyFont="1" applyFill="1" applyAlignment="1">
      <alignment horizontal="centerContinuous"/>
    </xf>
    <xf numFmtId="0" fontId="0" fillId="0" borderId="3" xfId="0" applyBorder="1"/>
    <xf numFmtId="0" fontId="0" fillId="0" borderId="3" xfId="0" applyBorder="1" applyAlignment="1">
      <alignment horizontal="right"/>
    </xf>
    <xf numFmtId="14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9" fontId="0" fillId="0" borderId="4" xfId="0" applyNumberFormat="1" applyBorder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indent="1"/>
    </xf>
    <xf numFmtId="165" fontId="0" fillId="0" borderId="0" xfId="0" applyNumberFormat="1"/>
    <xf numFmtId="165" fontId="9" fillId="0" borderId="0" xfId="0" applyNumberFormat="1" applyFont="1"/>
    <xf numFmtId="165" fontId="0" fillId="3" borderId="0" xfId="0" applyNumberFormat="1" applyFill="1"/>
    <xf numFmtId="165" fontId="0" fillId="4" borderId="0" xfId="0" applyNumberFormat="1" applyFill="1"/>
    <xf numFmtId="165" fontId="6" fillId="4" borderId="0" xfId="0" applyNumberFormat="1" applyFont="1" applyFill="1" applyAlignment="1">
      <alignment horizontal="centerContinuous"/>
    </xf>
    <xf numFmtId="165" fontId="0" fillId="4" borderId="0" xfId="0" applyNumberFormat="1" applyFill="1" applyAlignment="1">
      <alignment horizontal="centerContinuous"/>
    </xf>
    <xf numFmtId="165" fontId="6" fillId="5" borderId="0" xfId="0" applyNumberFormat="1" applyFont="1" applyFill="1" applyAlignment="1">
      <alignment horizontal="centerContinuous"/>
    </xf>
    <xf numFmtId="0" fontId="10" fillId="0" borderId="0" xfId="0" applyFont="1"/>
    <xf numFmtId="9" fontId="9" fillId="0" borderId="0" xfId="0" applyNumberFormat="1" applyFont="1"/>
    <xf numFmtId="165" fontId="8" fillId="0" borderId="0" xfId="0" applyNumberFormat="1" applyFont="1"/>
    <xf numFmtId="9" fontId="0" fillId="0" borderId="0" xfId="0" applyNumberFormat="1"/>
    <xf numFmtId="9" fontId="9" fillId="2" borderId="1" xfId="1" applyNumberFormat="1" applyFont="1"/>
    <xf numFmtId="166" fontId="9" fillId="2" borderId="1" xfId="1" applyNumberFormat="1" applyFont="1"/>
    <xf numFmtId="0" fontId="0" fillId="0" borderId="0" xfId="0" quotePrefix="1" applyAlignment="1">
      <alignment horizontal="right"/>
    </xf>
    <xf numFmtId="0" fontId="0" fillId="0" borderId="5" xfId="0" applyBorder="1"/>
    <xf numFmtId="165" fontId="12" fillId="0" borderId="0" xfId="0" applyNumberFormat="1" applyFont="1"/>
    <xf numFmtId="166" fontId="13" fillId="2" borderId="1" xfId="1" applyNumberFormat="1" applyFont="1"/>
    <xf numFmtId="9" fontId="11" fillId="0" borderId="0" xfId="0" applyNumberFormat="1" applyFont="1"/>
    <xf numFmtId="0" fontId="8" fillId="4" borderId="0" xfId="0" applyFont="1" applyFill="1"/>
    <xf numFmtId="0" fontId="8" fillId="5" borderId="0" xfId="0" applyFont="1" applyFill="1"/>
    <xf numFmtId="165" fontId="0" fillId="6" borderId="0" xfId="0" applyNumberFormat="1" applyFill="1"/>
    <xf numFmtId="10" fontId="0" fillId="0" borderId="0" xfId="0" applyNumberFormat="1"/>
    <xf numFmtId="166" fontId="9" fillId="0" borderId="0" xfId="0" applyNumberFormat="1" applyFont="1"/>
    <xf numFmtId="167" fontId="0" fillId="0" borderId="0" xfId="0" applyNumberFormat="1"/>
    <xf numFmtId="0" fontId="14" fillId="0" borderId="0" xfId="0" applyFont="1"/>
    <xf numFmtId="10" fontId="14" fillId="0" borderId="0" xfId="0" applyNumberFormat="1" applyFont="1"/>
    <xf numFmtId="165" fontId="14" fillId="0" borderId="0" xfId="0" applyNumberFormat="1" applyFont="1"/>
    <xf numFmtId="166" fontId="8" fillId="0" borderId="0" xfId="0" applyNumberFormat="1" applyFont="1"/>
    <xf numFmtId="9" fontId="15" fillId="0" borderId="0" xfId="0" applyNumberFormat="1" applyFont="1"/>
    <xf numFmtId="0" fontId="8" fillId="0" borderId="6" xfId="0" applyFont="1" applyBorder="1"/>
    <xf numFmtId="166" fontId="8" fillId="0" borderId="8" xfId="0" applyNumberFormat="1" applyFont="1" applyBorder="1"/>
    <xf numFmtId="10" fontId="12" fillId="0" borderId="0" xfId="0" applyNumberFormat="1" applyFont="1"/>
    <xf numFmtId="165" fontId="8" fillId="0" borderId="3" xfId="0" applyNumberFormat="1" applyFont="1" applyBorder="1"/>
    <xf numFmtId="0" fontId="16" fillId="4" borderId="0" xfId="0" applyFont="1" applyFill="1"/>
    <xf numFmtId="0" fontId="17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17" fillId="0" borderId="2" xfId="0" applyFont="1" applyBorder="1"/>
    <xf numFmtId="0" fontId="17" fillId="6" borderId="2" xfId="0" applyFont="1" applyFill="1" applyBorder="1"/>
    <xf numFmtId="0" fontId="17" fillId="0" borderId="0" xfId="0" applyFont="1"/>
    <xf numFmtId="0" fontId="16" fillId="0" borderId="0" xfId="0" applyFont="1"/>
    <xf numFmtId="0" fontId="18" fillId="3" borderId="0" xfId="0" applyFont="1" applyFill="1"/>
    <xf numFmtId="0" fontId="17" fillId="4" borderId="0" xfId="0" applyFont="1" applyFill="1"/>
    <xf numFmtId="0" fontId="19" fillId="0" borderId="2" xfId="0" applyFont="1" applyBorder="1"/>
    <xf numFmtId="165" fontId="0" fillId="0" borderId="8" xfId="0" applyNumberFormat="1" applyBorder="1"/>
    <xf numFmtId="0" fontId="0" fillId="0" borderId="9" xfId="0" applyBorder="1"/>
    <xf numFmtId="0" fontId="0" fillId="4" borderId="5" xfId="0" applyFill="1" applyBorder="1"/>
    <xf numFmtId="0" fontId="17" fillId="4" borderId="5" xfId="0" applyFont="1" applyFill="1" applyBorder="1" applyAlignment="1">
      <alignment horizontal="center"/>
    </xf>
    <xf numFmtId="0" fontId="19" fillId="0" borderId="0" xfId="0" applyFont="1"/>
    <xf numFmtId="165" fontId="20" fillId="0" borderId="2" xfId="0" applyNumberFormat="1" applyFont="1" applyBorder="1" applyAlignment="1">
      <alignment horizontal="center"/>
    </xf>
    <xf numFmtId="167" fontId="20" fillId="0" borderId="2" xfId="0" applyNumberFormat="1" applyFont="1" applyBorder="1" applyAlignment="1">
      <alignment horizontal="center"/>
    </xf>
    <xf numFmtId="164" fontId="20" fillId="0" borderId="2" xfId="0" applyNumberFormat="1" applyFont="1" applyBorder="1" applyAlignment="1">
      <alignment horizontal="center"/>
    </xf>
    <xf numFmtId="167" fontId="20" fillId="0" borderId="10" xfId="0" applyNumberFormat="1" applyFont="1" applyBorder="1" applyAlignment="1">
      <alignment horizontal="center"/>
    </xf>
    <xf numFmtId="165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67" fontId="20" fillId="0" borderId="5" xfId="0" applyNumberFormat="1" applyFont="1" applyBorder="1" applyAlignment="1">
      <alignment horizontal="center"/>
    </xf>
    <xf numFmtId="165" fontId="20" fillId="6" borderId="0" xfId="0" applyNumberFormat="1" applyFont="1" applyFill="1" applyAlignment="1">
      <alignment horizontal="center"/>
    </xf>
    <xf numFmtId="167" fontId="20" fillId="6" borderId="0" xfId="0" applyNumberFormat="1" applyFont="1" applyFill="1" applyAlignment="1">
      <alignment horizontal="center"/>
    </xf>
    <xf numFmtId="164" fontId="20" fillId="6" borderId="0" xfId="0" applyNumberFormat="1" applyFont="1" applyFill="1" applyAlignment="1">
      <alignment horizontal="center"/>
    </xf>
    <xf numFmtId="167" fontId="20" fillId="6" borderId="5" xfId="0" applyNumberFormat="1" applyFont="1" applyFill="1" applyBorder="1" applyAlignment="1">
      <alignment horizontal="center"/>
    </xf>
    <xf numFmtId="9" fontId="21" fillId="0" borderId="2" xfId="0" applyNumberFormat="1" applyFont="1" applyBorder="1" applyAlignment="1">
      <alignment horizontal="center"/>
    </xf>
    <xf numFmtId="9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0" fontId="20" fillId="0" borderId="2" xfId="0" applyNumberFormat="1" applyFont="1" applyBorder="1" applyAlignment="1">
      <alignment horizontal="center"/>
    </xf>
    <xf numFmtId="10" fontId="20" fillId="0" borderId="0" xfId="0" applyNumberFormat="1" applyFont="1" applyAlignment="1">
      <alignment horizontal="center"/>
    </xf>
    <xf numFmtId="170" fontId="17" fillId="0" borderId="0" xfId="0" applyNumberFormat="1" applyFont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7" fillId="6" borderId="10" xfId="0" applyFont="1" applyFill="1" applyBorder="1"/>
    <xf numFmtId="170" fontId="17" fillId="0" borderId="5" xfId="0" applyNumberFormat="1" applyFont="1" applyBorder="1" applyAlignment="1">
      <alignment horizontal="center"/>
    </xf>
    <xf numFmtId="169" fontId="0" fillId="0" borderId="0" xfId="0" applyNumberFormat="1"/>
    <xf numFmtId="170" fontId="16" fillId="0" borderId="0" xfId="0" applyNumberFormat="1" applyFont="1" applyAlignment="1">
      <alignment horizontal="center"/>
    </xf>
    <xf numFmtId="170" fontId="16" fillId="0" borderId="5" xfId="0" applyNumberFormat="1" applyFont="1" applyBorder="1" applyAlignment="1">
      <alignment horizontal="center"/>
    </xf>
    <xf numFmtId="170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171" fontId="17" fillId="0" borderId="0" xfId="0" applyNumberFormat="1" applyFont="1" applyAlignment="1">
      <alignment horizontal="center"/>
    </xf>
    <xf numFmtId="0" fontId="23" fillId="4" borderId="0" xfId="0" applyFont="1" applyFill="1" applyAlignment="1">
      <alignment horizontal="centerContinuous"/>
    </xf>
    <xf numFmtId="0" fontId="24" fillId="4" borderId="0" xfId="0" applyFont="1" applyFill="1" applyAlignment="1">
      <alignment horizontal="centerContinuous"/>
    </xf>
    <xf numFmtId="0" fontId="19" fillId="4" borderId="0" xfId="0" applyFont="1" applyFill="1" applyAlignment="1">
      <alignment horizontal="center"/>
    </xf>
    <xf numFmtId="167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5" fontId="20" fillId="0" borderId="11" xfId="0" applyNumberFormat="1" applyFont="1" applyBorder="1" applyAlignment="1">
      <alignment horizontal="center"/>
    </xf>
    <xf numFmtId="167" fontId="20" fillId="0" borderId="11" xfId="0" applyNumberFormat="1" applyFont="1" applyBorder="1" applyAlignment="1">
      <alignment horizontal="center"/>
    </xf>
    <xf numFmtId="10" fontId="20" fillId="0" borderId="11" xfId="0" applyNumberFormat="1" applyFont="1" applyBorder="1" applyAlignment="1">
      <alignment horizontal="center"/>
    </xf>
    <xf numFmtId="9" fontId="21" fillId="0" borderId="11" xfId="0" applyNumberFormat="1" applyFont="1" applyBorder="1" applyAlignment="1">
      <alignment horizontal="center"/>
    </xf>
    <xf numFmtId="164" fontId="20" fillId="0" borderId="11" xfId="0" applyNumberFormat="1" applyFont="1" applyBorder="1" applyAlignment="1">
      <alignment horizontal="center"/>
    </xf>
    <xf numFmtId="167" fontId="20" fillId="0" borderId="12" xfId="0" applyNumberFormat="1" applyFont="1" applyBorder="1" applyAlignment="1">
      <alignment horizontal="center"/>
    </xf>
    <xf numFmtId="170" fontId="17" fillId="0" borderId="11" xfId="0" applyNumberFormat="1" applyFont="1" applyBorder="1" applyAlignment="1">
      <alignment horizontal="center"/>
    </xf>
    <xf numFmtId="170" fontId="17" fillId="0" borderId="12" xfId="0" applyNumberFormat="1" applyFont="1" applyBorder="1" applyAlignment="1">
      <alignment horizontal="center"/>
    </xf>
    <xf numFmtId="165" fontId="21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10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67" fontId="21" fillId="0" borderId="5" xfId="0" applyNumberFormat="1" applyFont="1" applyBorder="1" applyAlignment="1">
      <alignment horizontal="center"/>
    </xf>
    <xf numFmtId="172" fontId="21" fillId="0" borderId="0" xfId="0" applyNumberFormat="1" applyFont="1" applyAlignment="1">
      <alignment horizontal="center"/>
    </xf>
    <xf numFmtId="0" fontId="24" fillId="4" borderId="5" xfId="0" applyFont="1" applyFill="1" applyBorder="1" applyAlignment="1">
      <alignment horizontal="centerContinuous"/>
    </xf>
    <xf numFmtId="0" fontId="19" fillId="4" borderId="5" xfId="0" applyFont="1" applyFill="1" applyBorder="1" applyAlignment="1">
      <alignment horizontal="center"/>
    </xf>
    <xf numFmtId="2" fontId="19" fillId="0" borderId="5" xfId="0" applyNumberFormat="1" applyFont="1" applyBorder="1" applyAlignment="1">
      <alignment horizontal="center"/>
    </xf>
    <xf numFmtId="173" fontId="17" fillId="0" borderId="0" xfId="0" applyNumberFormat="1" applyFont="1"/>
    <xf numFmtId="173" fontId="22" fillId="0" borderId="0" xfId="0" applyNumberFormat="1" applyFont="1"/>
    <xf numFmtId="0" fontId="16" fillId="4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14" fontId="22" fillId="0" borderId="0" xfId="0" applyNumberFormat="1" applyFont="1" applyAlignment="1">
      <alignment horizontal="left"/>
    </xf>
    <xf numFmtId="173" fontId="0" fillId="0" borderId="0" xfId="0" applyNumberFormat="1"/>
    <xf numFmtId="173" fontId="0" fillId="0" borderId="5" xfId="0" applyNumberFormat="1" applyBorder="1"/>
    <xf numFmtId="173" fontId="0" fillId="0" borderId="2" xfId="0" applyNumberFormat="1" applyBorder="1"/>
    <xf numFmtId="173" fontId="0" fillId="0" borderId="10" xfId="0" applyNumberFormat="1" applyBorder="1"/>
    <xf numFmtId="0" fontId="8" fillId="0" borderId="13" xfId="0" applyFont="1" applyBorder="1"/>
    <xf numFmtId="0" fontId="10" fillId="0" borderId="9" xfId="0" applyFont="1" applyBorder="1"/>
    <xf numFmtId="0" fontId="10" fillId="0" borderId="16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6" borderId="0" xfId="0" applyFill="1"/>
    <xf numFmtId="165" fontId="25" fillId="6" borderId="0" xfId="0" applyNumberFormat="1" applyFont="1" applyFill="1" applyAlignment="1">
      <alignment horizontal="centerContinuous"/>
    </xf>
    <xf numFmtId="165" fontId="27" fillId="6" borderId="0" xfId="0" applyNumberFormat="1" applyFont="1" applyFill="1" applyAlignment="1">
      <alignment horizontal="centerContinuous"/>
    </xf>
    <xf numFmtId="10" fontId="0" fillId="7" borderId="2" xfId="0" applyNumberFormat="1" applyFill="1" applyBorder="1" applyAlignment="1">
      <alignment horizontal="center"/>
    </xf>
    <xf numFmtId="10" fontId="0" fillId="7" borderId="5" xfId="0" applyNumberFormat="1" applyFill="1" applyBorder="1"/>
    <xf numFmtId="174" fontId="0" fillId="7" borderId="0" xfId="0" applyNumberFormat="1" applyFill="1"/>
    <xf numFmtId="0" fontId="26" fillId="6" borderId="0" xfId="0" applyFont="1" applyFill="1"/>
    <xf numFmtId="0" fontId="8" fillId="0" borderId="14" xfId="0" applyFont="1" applyBorder="1"/>
    <xf numFmtId="0" fontId="8" fillId="0" borderId="15" xfId="0" applyFont="1" applyBorder="1"/>
    <xf numFmtId="175" fontId="0" fillId="0" borderId="0" xfId="0" applyNumberFormat="1"/>
    <xf numFmtId="0" fontId="0" fillId="0" borderId="16" xfId="0" applyBorder="1"/>
    <xf numFmtId="175" fontId="0" fillId="0" borderId="2" xfId="0" applyNumberFormat="1" applyBorder="1"/>
    <xf numFmtId="0" fontId="2" fillId="0" borderId="0" xfId="2"/>
    <xf numFmtId="0" fontId="2" fillId="8" borderId="0" xfId="2" applyFill="1" applyAlignment="1">
      <alignment vertical="top" wrapText="1"/>
    </xf>
    <xf numFmtId="0" fontId="2" fillId="8" borderId="17" xfId="2" applyFill="1" applyBorder="1" applyAlignment="1">
      <alignment vertical="top" wrapText="1"/>
    </xf>
    <xf numFmtId="6" fontId="29" fillId="8" borderId="18" xfId="2" applyNumberFormat="1" applyFont="1" applyFill="1" applyBorder="1" applyAlignment="1">
      <alignment horizontal="right" vertical="center"/>
    </xf>
    <xf numFmtId="6" fontId="29" fillId="8" borderId="19" xfId="2" applyNumberFormat="1" applyFont="1" applyFill="1" applyBorder="1" applyAlignment="1">
      <alignment horizontal="right" vertical="center"/>
    </xf>
    <xf numFmtId="6" fontId="29" fillId="8" borderId="18" xfId="2" applyNumberFormat="1" applyFont="1" applyFill="1" applyBorder="1" applyAlignment="1">
      <alignment horizontal="right" vertical="center" indent="2"/>
    </xf>
    <xf numFmtId="3" fontId="29" fillId="9" borderId="20" xfId="2" applyNumberFormat="1" applyFont="1" applyFill="1" applyBorder="1" applyAlignment="1">
      <alignment horizontal="right" vertical="center"/>
    </xf>
    <xf numFmtId="3" fontId="29" fillId="9" borderId="21" xfId="2" applyNumberFormat="1" applyFont="1" applyFill="1" applyBorder="1" applyAlignment="1">
      <alignment horizontal="right" vertical="center"/>
    </xf>
    <xf numFmtId="3" fontId="29" fillId="9" borderId="20" xfId="2" applyNumberFormat="1" applyFont="1" applyFill="1" applyBorder="1" applyAlignment="1">
      <alignment horizontal="right" vertical="center" indent="2"/>
    </xf>
    <xf numFmtId="3" fontId="29" fillId="8" borderId="0" xfId="2" applyNumberFormat="1" applyFont="1" applyFill="1" applyAlignment="1">
      <alignment horizontal="right" vertical="center"/>
    </xf>
    <xf numFmtId="3" fontId="29" fillId="8" borderId="22" xfId="2" applyNumberFormat="1" applyFont="1" applyFill="1" applyBorder="1" applyAlignment="1">
      <alignment horizontal="right" vertical="center"/>
    </xf>
    <xf numFmtId="0" fontId="29" fillId="9" borderId="0" xfId="2" applyFont="1" applyFill="1" applyAlignment="1">
      <alignment horizontal="right" vertical="center"/>
    </xf>
    <xf numFmtId="0" fontId="29" fillId="9" borderId="22" xfId="2" applyFont="1" applyFill="1" applyBorder="1" applyAlignment="1">
      <alignment horizontal="right" vertical="center"/>
    </xf>
    <xf numFmtId="3" fontId="29" fillId="8" borderId="0" xfId="2" applyNumberFormat="1" applyFont="1" applyFill="1" applyAlignment="1">
      <alignment horizontal="right" vertical="center" indent="2"/>
    </xf>
    <xf numFmtId="3" fontId="29" fillId="9" borderId="0" xfId="2" applyNumberFormat="1" applyFont="1" applyFill="1" applyAlignment="1">
      <alignment horizontal="right" vertical="center"/>
    </xf>
    <xf numFmtId="3" fontId="29" fillId="9" borderId="22" xfId="2" applyNumberFormat="1" applyFont="1" applyFill="1" applyBorder="1" applyAlignment="1">
      <alignment horizontal="right" vertical="center"/>
    </xf>
    <xf numFmtId="3" fontId="29" fillId="9" borderId="0" xfId="2" applyNumberFormat="1" applyFont="1" applyFill="1" applyAlignment="1">
      <alignment horizontal="right" vertical="center" indent="2"/>
    </xf>
    <xf numFmtId="0" fontId="29" fillId="8" borderId="0" xfId="2" applyFont="1" applyFill="1" applyAlignment="1">
      <alignment horizontal="right" vertical="center"/>
    </xf>
    <xf numFmtId="0" fontId="29" fillId="8" borderId="22" xfId="2" applyFont="1" applyFill="1" applyBorder="1" applyAlignment="1">
      <alignment horizontal="right" vertical="center"/>
    </xf>
    <xf numFmtId="0" fontId="29" fillId="8" borderId="0" xfId="2" applyFont="1" applyFill="1" applyAlignment="1">
      <alignment horizontal="right" vertical="center" indent="2"/>
    </xf>
    <xf numFmtId="0" fontId="29" fillId="9" borderId="0" xfId="2" applyFont="1" applyFill="1" applyAlignment="1">
      <alignment horizontal="right" vertical="center" indent="2"/>
    </xf>
    <xf numFmtId="0" fontId="29" fillId="8" borderId="0" xfId="2" applyFont="1" applyFill="1" applyAlignment="1">
      <alignment horizontal="left" vertical="center"/>
    </xf>
    <xf numFmtId="0" fontId="29" fillId="8" borderId="22" xfId="2" applyFont="1" applyFill="1" applyBorder="1" applyAlignment="1">
      <alignment horizontal="left" vertical="center"/>
    </xf>
    <xf numFmtId="0" fontId="29" fillId="8" borderId="0" xfId="2" applyFont="1" applyFill="1" applyAlignment="1">
      <alignment horizontal="left" vertical="center" wrapText="1"/>
    </xf>
    <xf numFmtId="0" fontId="28" fillId="0" borderId="0" xfId="2" applyFont="1"/>
    <xf numFmtId="0" fontId="29" fillId="9" borderId="0" xfId="2" applyFont="1" applyFill="1" applyAlignment="1">
      <alignment horizontal="left" vertical="center"/>
    </xf>
    <xf numFmtId="0" fontId="29" fillId="9" borderId="22" xfId="2" applyFont="1" applyFill="1" applyBorder="1" applyAlignment="1">
      <alignment horizontal="left" vertical="center"/>
    </xf>
    <xf numFmtId="0" fontId="29" fillId="9" borderId="0" xfId="2" applyFont="1" applyFill="1" applyAlignment="1">
      <alignment horizontal="left" vertical="center" wrapText="1"/>
    </xf>
    <xf numFmtId="3" fontId="29" fillId="8" borderId="20" xfId="2" applyNumberFormat="1" applyFont="1" applyFill="1" applyBorder="1" applyAlignment="1">
      <alignment horizontal="right" vertical="center"/>
    </xf>
    <xf numFmtId="3" fontId="29" fillId="8" borderId="20" xfId="2" applyNumberFormat="1" applyFont="1" applyFill="1" applyBorder="1" applyAlignment="1">
      <alignment horizontal="right" vertical="center" indent="2"/>
    </xf>
    <xf numFmtId="6" fontId="29" fillId="8" borderId="0" xfId="2" applyNumberFormat="1" applyFont="1" applyFill="1" applyAlignment="1">
      <alignment horizontal="right" vertical="center"/>
    </xf>
    <xf numFmtId="6" fontId="29" fillId="8" borderId="22" xfId="2" applyNumberFormat="1" applyFont="1" applyFill="1" applyBorder="1" applyAlignment="1">
      <alignment horizontal="right" vertical="center"/>
    </xf>
    <xf numFmtId="6" fontId="29" fillId="8" borderId="0" xfId="2" applyNumberFormat="1" applyFont="1" applyFill="1" applyAlignment="1">
      <alignment horizontal="right" vertical="center" indent="2"/>
    </xf>
    <xf numFmtId="0" fontId="30" fillId="10" borderId="17" xfId="2" applyFont="1" applyFill="1" applyBorder="1" applyAlignment="1">
      <alignment horizontal="center"/>
    </xf>
    <xf numFmtId="0" fontId="30" fillId="10" borderId="23" xfId="2" applyFont="1" applyFill="1" applyBorder="1"/>
    <xf numFmtId="0" fontId="30" fillId="10" borderId="0" xfId="2" applyFont="1" applyFill="1"/>
    <xf numFmtId="0" fontId="30" fillId="10" borderId="0" xfId="2" applyFont="1" applyFill="1" applyAlignment="1">
      <alignment wrapText="1"/>
    </xf>
    <xf numFmtId="0" fontId="30" fillId="10" borderId="24" xfId="2" applyFont="1" applyFill="1" applyBorder="1" applyAlignment="1">
      <alignment horizontal="center" vertical="center"/>
    </xf>
    <xf numFmtId="0" fontId="30" fillId="10" borderId="25" xfId="2" applyFont="1" applyFill="1" applyBorder="1" applyAlignment="1">
      <alignment horizontal="center" vertical="center"/>
    </xf>
    <xf numFmtId="0" fontId="2" fillId="8" borderId="0" xfId="2" applyFill="1" applyAlignment="1">
      <alignment vertical="top"/>
    </xf>
    <xf numFmtId="0" fontId="2" fillId="8" borderId="17" xfId="2" applyFill="1" applyBorder="1" applyAlignment="1">
      <alignment vertical="top"/>
    </xf>
    <xf numFmtId="6" fontId="29" fillId="9" borderId="18" xfId="2" applyNumberFormat="1" applyFont="1" applyFill="1" applyBorder="1" applyAlignment="1">
      <alignment horizontal="right" vertical="center" indent="2"/>
    </xf>
    <xf numFmtId="0" fontId="30" fillId="10" borderId="0" xfId="2" applyFont="1" applyFill="1" applyAlignment="1">
      <alignment horizontal="left" vertical="center" wrapText="1"/>
    </xf>
    <xf numFmtId="0" fontId="30" fillId="10" borderId="0" xfId="2" applyFont="1" applyFill="1" applyAlignment="1">
      <alignment horizontal="left" vertical="center"/>
    </xf>
    <xf numFmtId="8" fontId="29" fillId="9" borderId="0" xfId="2" applyNumberFormat="1" applyFont="1" applyFill="1" applyAlignment="1">
      <alignment horizontal="right" vertical="center" indent="2"/>
    </xf>
    <xf numFmtId="8" fontId="29" fillId="8" borderId="0" xfId="2" applyNumberFormat="1" applyFont="1" applyFill="1" applyAlignment="1">
      <alignment horizontal="right" vertical="center"/>
    </xf>
    <xf numFmtId="6" fontId="29" fillId="8" borderId="20" xfId="2" applyNumberFormat="1" applyFont="1" applyFill="1" applyBorder="1" applyAlignment="1">
      <alignment horizontal="right" vertical="center" indent="2"/>
    </xf>
    <xf numFmtId="6" fontId="29" fillId="9" borderId="20" xfId="2" applyNumberFormat="1" applyFont="1" applyFill="1" applyBorder="1" applyAlignment="1">
      <alignment horizontal="right" vertical="center"/>
    </xf>
    <xf numFmtId="0" fontId="29" fillId="9" borderId="20" xfId="2" applyFont="1" applyFill="1" applyBorder="1" applyAlignment="1">
      <alignment horizontal="right" vertical="center"/>
    </xf>
    <xf numFmtId="0" fontId="29" fillId="8" borderId="20" xfId="2" applyFont="1" applyFill="1" applyBorder="1" applyAlignment="1">
      <alignment horizontal="right" vertical="center"/>
    </xf>
    <xf numFmtId="6" fontId="29" fillId="9" borderId="0" xfId="2" applyNumberFormat="1" applyFont="1" applyFill="1" applyAlignment="1">
      <alignment horizontal="right" vertical="center" indent="2"/>
    </xf>
    <xf numFmtId="0" fontId="30" fillId="10" borderId="0" xfId="2" applyFont="1" applyFill="1" applyAlignment="1">
      <alignment horizontal="center" vertical="center" wrapText="1"/>
    </xf>
    <xf numFmtId="0" fontId="30" fillId="10" borderId="0" xfId="2" applyFont="1" applyFill="1" applyAlignment="1">
      <alignment horizontal="center" vertical="center"/>
    </xf>
    <xf numFmtId="6" fontId="29" fillId="8" borderId="18" xfId="2" applyNumberFormat="1" applyFont="1" applyFill="1" applyBorder="1" applyAlignment="1">
      <alignment horizontal="right" vertical="top"/>
    </xf>
    <xf numFmtId="0" fontId="29" fillId="9" borderId="0" xfId="2" applyFont="1" applyFill="1" applyAlignment="1">
      <alignment horizontal="right" vertical="top"/>
    </xf>
    <xf numFmtId="3" fontId="29" fillId="9" borderId="0" xfId="2" applyNumberFormat="1" applyFont="1" applyFill="1" applyAlignment="1">
      <alignment horizontal="right" vertical="top"/>
    </xf>
    <xf numFmtId="0" fontId="29" fillId="8" borderId="0" xfId="2" applyFont="1" applyFill="1" applyAlignment="1">
      <alignment horizontal="right" vertical="top" wrapText="1"/>
    </xf>
    <xf numFmtId="0" fontId="29" fillId="8" borderId="0" xfId="2" applyFont="1" applyFill="1" applyAlignment="1">
      <alignment horizontal="right" vertical="top"/>
    </xf>
    <xf numFmtId="3" fontId="29" fillId="8" borderId="0" xfId="2" applyNumberFormat="1" applyFont="1" applyFill="1" applyAlignment="1">
      <alignment horizontal="right" vertical="top"/>
    </xf>
    <xf numFmtId="0" fontId="29" fillId="9" borderId="20" xfId="2" applyFont="1" applyFill="1" applyBorder="1" applyAlignment="1">
      <alignment horizontal="right" vertical="top"/>
    </xf>
    <xf numFmtId="3" fontId="29" fillId="9" borderId="20" xfId="2" applyNumberFormat="1" applyFont="1" applyFill="1" applyBorder="1" applyAlignment="1">
      <alignment horizontal="right" vertical="top"/>
    </xf>
    <xf numFmtId="0" fontId="2" fillId="0" borderId="0" xfId="2" applyAlignment="1">
      <alignment horizontal="right" vertical="top"/>
    </xf>
    <xf numFmtId="3" fontId="29" fillId="8" borderId="20" xfId="2" applyNumberFormat="1" applyFont="1" applyFill="1" applyBorder="1" applyAlignment="1">
      <alignment horizontal="right" vertical="top"/>
    </xf>
    <xf numFmtId="0" fontId="29" fillId="8" borderId="20" xfId="2" applyFont="1" applyFill="1" applyBorder="1" applyAlignment="1">
      <alignment horizontal="right" vertical="top"/>
    </xf>
    <xf numFmtId="0" fontId="29" fillId="9" borderId="0" xfId="2" applyFont="1" applyFill="1" applyAlignment="1">
      <alignment horizontal="right" vertical="top" wrapText="1"/>
    </xf>
    <xf numFmtId="6" fontId="29" fillId="8" borderId="0" xfId="2" applyNumberFormat="1" applyFont="1" applyFill="1" applyAlignment="1">
      <alignment horizontal="right" vertical="top"/>
    </xf>
    <xf numFmtId="0" fontId="30" fillId="10" borderId="0" xfId="2" applyFont="1" applyFill="1" applyAlignment="1">
      <alignment vertical="center"/>
    </xf>
    <xf numFmtId="166" fontId="11" fillId="2" borderId="1" xfId="1" applyNumberFormat="1" applyFont="1"/>
    <xf numFmtId="9" fontId="11" fillId="2" borderId="1" xfId="1" applyNumberFormat="1" applyFont="1"/>
    <xf numFmtId="9" fontId="13" fillId="2" borderId="1" xfId="1" applyNumberFormat="1" applyFont="1"/>
    <xf numFmtId="14" fontId="17" fillId="0" borderId="0" xfId="0" applyNumberFormat="1" applyFont="1" applyAlignment="1">
      <alignment horizontal="left"/>
    </xf>
    <xf numFmtId="0" fontId="1" fillId="0" borderId="0" xfId="4"/>
    <xf numFmtId="0" fontId="31" fillId="0" borderId="0" xfId="4" applyFont="1"/>
    <xf numFmtId="176" fontId="32" fillId="0" borderId="0" xfId="4" applyNumberFormat="1" applyFont="1" applyAlignment="1">
      <alignment horizontal="right"/>
    </xf>
    <xf numFmtId="0" fontId="34" fillId="14" borderId="31" xfId="4" applyFont="1" applyFill="1" applyBorder="1"/>
    <xf numFmtId="176" fontId="32" fillId="14" borderId="32" xfId="4" applyNumberFormat="1" applyFont="1" applyFill="1" applyBorder="1" applyAlignment="1">
      <alignment horizontal="right"/>
    </xf>
    <xf numFmtId="176" fontId="32" fillId="14" borderId="33" xfId="4" applyNumberFormat="1" applyFont="1" applyFill="1" applyBorder="1" applyAlignment="1">
      <alignment horizontal="right"/>
    </xf>
    <xf numFmtId="176" fontId="32" fillId="14" borderId="31" xfId="4" applyNumberFormat="1" applyFont="1" applyFill="1" applyBorder="1" applyAlignment="1">
      <alignment horizontal="right"/>
    </xf>
    <xf numFmtId="0" fontId="31" fillId="11" borderId="0" xfId="4" applyFont="1" applyFill="1"/>
    <xf numFmtId="0" fontId="35" fillId="0" borderId="0" xfId="4" applyFont="1"/>
    <xf numFmtId="0" fontId="33" fillId="0" borderId="34" xfId="4" applyFont="1" applyBorder="1"/>
    <xf numFmtId="177" fontId="33" fillId="0" borderId="0" xfId="4" applyNumberFormat="1" applyFont="1" applyAlignment="1">
      <alignment horizontal="right"/>
    </xf>
    <xf numFmtId="177" fontId="33" fillId="0" borderId="35" xfId="4" applyNumberFormat="1" applyFont="1" applyBorder="1" applyAlignment="1">
      <alignment horizontal="right"/>
    </xf>
    <xf numFmtId="177" fontId="33" fillId="0" borderId="34" xfId="4" applyNumberFormat="1" applyFont="1" applyBorder="1" applyAlignment="1">
      <alignment horizontal="right"/>
    </xf>
    <xf numFmtId="166" fontId="36" fillId="0" borderId="0" xfId="4" applyNumberFormat="1" applyFont="1"/>
    <xf numFmtId="166" fontId="37" fillId="0" borderId="34" xfId="4" applyNumberFormat="1" applyFont="1" applyBorder="1"/>
    <xf numFmtId="166" fontId="34" fillId="0" borderId="0" xfId="4" applyNumberFormat="1" applyFont="1"/>
    <xf numFmtId="166" fontId="33" fillId="0" borderId="0" xfId="4" applyNumberFormat="1" applyFont="1" applyAlignment="1">
      <alignment horizontal="right"/>
    </xf>
    <xf numFmtId="166" fontId="33" fillId="0" borderId="35" xfId="4" applyNumberFormat="1" applyFont="1" applyBorder="1" applyAlignment="1">
      <alignment horizontal="right"/>
    </xf>
    <xf numFmtId="166" fontId="33" fillId="0" borderId="34" xfId="4" applyNumberFormat="1" applyFont="1" applyBorder="1" applyAlignment="1">
      <alignment horizontal="right"/>
    </xf>
    <xf numFmtId="0" fontId="34" fillId="0" borderId="34" xfId="4" applyFont="1" applyBorder="1"/>
    <xf numFmtId="177" fontId="34" fillId="0" borderId="0" xfId="4" applyNumberFormat="1" applyFont="1"/>
    <xf numFmtId="177" fontId="34" fillId="0" borderId="35" xfId="4" applyNumberFormat="1" applyFont="1" applyBorder="1"/>
    <xf numFmtId="177" fontId="34" fillId="0" borderId="34" xfId="4" applyNumberFormat="1" applyFont="1" applyBorder="1"/>
    <xf numFmtId="166" fontId="37" fillId="0" borderId="0" xfId="4" applyNumberFormat="1" applyFont="1" applyAlignment="1">
      <alignment horizontal="right"/>
    </xf>
    <xf numFmtId="166" fontId="37" fillId="0" borderId="35" xfId="4" applyNumberFormat="1" applyFont="1" applyBorder="1" applyAlignment="1">
      <alignment horizontal="right"/>
    </xf>
    <xf numFmtId="166" fontId="37" fillId="0" borderId="34" xfId="4" applyNumberFormat="1" applyFont="1" applyBorder="1" applyAlignment="1">
      <alignment horizontal="right"/>
    </xf>
    <xf numFmtId="166" fontId="31" fillId="0" borderId="0" xfId="4" applyNumberFormat="1" applyFont="1"/>
    <xf numFmtId="166" fontId="34" fillId="0" borderId="34" xfId="4" applyNumberFormat="1" applyFont="1" applyBorder="1"/>
    <xf numFmtId="166" fontId="34" fillId="0" borderId="35" xfId="4" applyNumberFormat="1" applyFont="1" applyBorder="1"/>
    <xf numFmtId="0" fontId="34" fillId="0" borderId="0" xfId="4" applyFont="1"/>
    <xf numFmtId="0" fontId="34" fillId="0" borderId="35" xfId="4" applyFont="1" applyBorder="1"/>
    <xf numFmtId="178" fontId="33" fillId="0" borderId="0" xfId="4" applyNumberFormat="1" applyFont="1" applyAlignment="1">
      <alignment horizontal="right"/>
    </xf>
    <xf numFmtId="178" fontId="33" fillId="0" borderId="35" xfId="4" applyNumberFormat="1" applyFont="1" applyBorder="1" applyAlignment="1">
      <alignment horizontal="right"/>
    </xf>
    <xf numFmtId="178" fontId="33" fillId="0" borderId="34" xfId="4" applyNumberFormat="1" applyFont="1" applyBorder="1" applyAlignment="1">
      <alignment horizontal="right"/>
    </xf>
    <xf numFmtId="179" fontId="33" fillId="0" borderId="0" xfId="4" applyNumberFormat="1" applyFont="1" applyAlignment="1">
      <alignment horizontal="right"/>
    </xf>
    <xf numFmtId="179" fontId="33" fillId="0" borderId="35" xfId="4" applyNumberFormat="1" applyFont="1" applyBorder="1" applyAlignment="1">
      <alignment horizontal="right"/>
    </xf>
    <xf numFmtId="179" fontId="33" fillId="0" borderId="34" xfId="4" applyNumberFormat="1" applyFont="1" applyBorder="1" applyAlignment="1">
      <alignment horizontal="right"/>
    </xf>
    <xf numFmtId="0" fontId="33" fillId="0" borderId="36" xfId="4" applyFont="1" applyBorder="1"/>
    <xf numFmtId="180" fontId="33" fillId="0" borderId="26" xfId="4" applyNumberFormat="1" applyFont="1" applyBorder="1" applyAlignment="1">
      <alignment horizontal="right"/>
    </xf>
    <xf numFmtId="180" fontId="33" fillId="0" borderId="37" xfId="4" applyNumberFormat="1" applyFont="1" applyBorder="1" applyAlignment="1">
      <alignment horizontal="right"/>
    </xf>
    <xf numFmtId="180" fontId="33" fillId="0" borderId="36" xfId="4" applyNumberFormat="1" applyFont="1" applyBorder="1" applyAlignment="1">
      <alignment horizontal="right"/>
    </xf>
    <xf numFmtId="0" fontId="31" fillId="11" borderId="36" xfId="4" applyFont="1" applyFill="1" applyBorder="1"/>
    <xf numFmtId="0" fontId="39" fillId="11" borderId="34" xfId="4" applyFont="1" applyFill="1" applyBorder="1"/>
    <xf numFmtId="0" fontId="31" fillId="11" borderId="34" xfId="4" applyFont="1" applyFill="1" applyBorder="1"/>
    <xf numFmtId="177" fontId="31" fillId="0" borderId="0" xfId="4" applyNumberFormat="1" applyFont="1"/>
    <xf numFmtId="0" fontId="31" fillId="11" borderId="38" xfId="4" applyFont="1" applyFill="1" applyBorder="1"/>
    <xf numFmtId="17" fontId="41" fillId="15" borderId="29" xfId="4" applyNumberFormat="1" applyFont="1" applyFill="1" applyBorder="1" applyAlignment="1">
      <alignment horizontal="center"/>
    </xf>
    <xf numFmtId="17" fontId="41" fillId="15" borderId="39" xfId="4" applyNumberFormat="1" applyFont="1" applyFill="1" applyBorder="1" applyAlignment="1">
      <alignment horizontal="center"/>
    </xf>
    <xf numFmtId="0" fontId="40" fillId="16" borderId="26" xfId="4" applyFont="1" applyFill="1" applyBorder="1" applyAlignment="1">
      <alignment horizontal="center"/>
    </xf>
    <xf numFmtId="0" fontId="40" fillId="16" borderId="37" xfId="4" applyFont="1" applyFill="1" applyBorder="1" applyAlignment="1">
      <alignment horizontal="center"/>
    </xf>
    <xf numFmtId="177" fontId="31" fillId="12" borderId="0" xfId="4" applyNumberFormat="1" applyFont="1" applyFill="1" applyAlignment="1">
      <alignment horizontal="center"/>
    </xf>
    <xf numFmtId="177" fontId="31" fillId="12" borderId="35" xfId="4" applyNumberFormat="1" applyFont="1" applyFill="1" applyBorder="1" applyAlignment="1">
      <alignment horizontal="center"/>
    </xf>
    <xf numFmtId="166" fontId="42" fillId="11" borderId="34" xfId="4" applyNumberFormat="1" applyFont="1" applyFill="1" applyBorder="1"/>
    <xf numFmtId="166" fontId="31" fillId="11" borderId="34" xfId="4" applyNumberFormat="1" applyFont="1" applyFill="1" applyBorder="1"/>
    <xf numFmtId="166" fontId="42" fillId="11" borderId="0" xfId="4" applyNumberFormat="1" applyFont="1" applyFill="1" applyAlignment="1">
      <alignment horizontal="center"/>
    </xf>
    <xf numFmtId="166" fontId="42" fillId="11" borderId="35" xfId="4" applyNumberFormat="1" applyFont="1" applyFill="1" applyBorder="1" applyAlignment="1">
      <alignment horizontal="center"/>
    </xf>
    <xf numFmtId="177" fontId="31" fillId="11" borderId="0" xfId="4" applyNumberFormat="1" applyFont="1" applyFill="1" applyAlignment="1">
      <alignment horizontal="center"/>
    </xf>
    <xf numFmtId="177" fontId="31" fillId="11" borderId="35" xfId="4" applyNumberFormat="1" applyFont="1" applyFill="1" applyBorder="1" applyAlignment="1">
      <alignment horizontal="center"/>
    </xf>
    <xf numFmtId="178" fontId="31" fillId="11" borderId="26" xfId="4" applyNumberFormat="1" applyFont="1" applyFill="1" applyBorder="1" applyAlignment="1">
      <alignment horizontal="center"/>
    </xf>
    <xf numFmtId="0" fontId="8" fillId="17" borderId="0" xfId="0" applyFont="1" applyFill="1"/>
    <xf numFmtId="0" fontId="0" fillId="17" borderId="0" xfId="0" applyFill="1"/>
    <xf numFmtId="0" fontId="38" fillId="13" borderId="13" xfId="4" applyFont="1" applyFill="1" applyBorder="1"/>
    <xf numFmtId="0" fontId="31" fillId="13" borderId="15" xfId="4" applyFont="1" applyFill="1" applyBorder="1"/>
    <xf numFmtId="0" fontId="34" fillId="11" borderId="9" xfId="4" applyFont="1" applyFill="1" applyBorder="1"/>
    <xf numFmtId="0" fontId="31" fillId="11" borderId="41" xfId="4" applyFont="1" applyFill="1" applyBorder="1"/>
    <xf numFmtId="0" fontId="39" fillId="11" borderId="9" xfId="4" applyFont="1" applyFill="1" applyBorder="1"/>
    <xf numFmtId="177" fontId="31" fillId="0" borderId="5" xfId="4" applyNumberFormat="1" applyFont="1" applyBorder="1" applyAlignment="1">
      <alignment horizontal="right"/>
    </xf>
    <xf numFmtId="0" fontId="31" fillId="11" borderId="9" xfId="4" applyFont="1" applyFill="1" applyBorder="1"/>
    <xf numFmtId="177" fontId="31" fillId="0" borderId="27" xfId="4" applyNumberFormat="1" applyFont="1" applyBorder="1" applyAlignment="1">
      <alignment horizontal="right"/>
    </xf>
    <xf numFmtId="0" fontId="40" fillId="11" borderId="9" xfId="4" applyFont="1" applyFill="1" applyBorder="1"/>
    <xf numFmtId="181" fontId="31" fillId="0" borderId="5" xfId="4" applyNumberFormat="1" applyFont="1" applyBorder="1" applyAlignment="1">
      <alignment horizontal="right"/>
    </xf>
    <xf numFmtId="181" fontId="31" fillId="0" borderId="5" xfId="4" applyNumberFormat="1" applyFont="1" applyBorder="1"/>
    <xf numFmtId="0" fontId="1" fillId="0" borderId="9" xfId="4" applyBorder="1"/>
    <xf numFmtId="0" fontId="31" fillId="0" borderId="9" xfId="4" applyFont="1" applyBorder="1"/>
    <xf numFmtId="0" fontId="31" fillId="0" borderId="5" xfId="4" applyFont="1" applyBorder="1"/>
    <xf numFmtId="0" fontId="31" fillId="0" borderId="16" xfId="4" applyFont="1" applyBorder="1"/>
    <xf numFmtId="0" fontId="31" fillId="11" borderId="16" xfId="4" applyFont="1" applyFill="1" applyBorder="1"/>
    <xf numFmtId="1" fontId="31" fillId="11" borderId="12" xfId="4" applyNumberFormat="1" applyFont="1" applyFill="1" applyBorder="1"/>
    <xf numFmtId="181" fontId="31" fillId="0" borderId="27" xfId="4" applyNumberFormat="1" applyFont="1" applyBorder="1" applyAlignment="1">
      <alignment horizontal="right"/>
    </xf>
    <xf numFmtId="0" fontId="39" fillId="0" borderId="9" xfId="4" applyFont="1" applyBorder="1"/>
    <xf numFmtId="0" fontId="39" fillId="11" borderId="13" xfId="4" applyFont="1" applyFill="1" applyBorder="1"/>
    <xf numFmtId="0" fontId="39" fillId="11" borderId="28" xfId="4" applyFont="1" applyFill="1" applyBorder="1"/>
    <xf numFmtId="177" fontId="39" fillId="0" borderId="5" xfId="4" applyNumberFormat="1" applyFont="1" applyBorder="1"/>
    <xf numFmtId="177" fontId="39" fillId="11" borderId="15" xfId="4" applyNumberFormat="1" applyFont="1" applyFill="1" applyBorder="1"/>
    <xf numFmtId="177" fontId="39" fillId="0" borderId="30" xfId="4" applyNumberFormat="1" applyFont="1" applyBorder="1" applyAlignment="1">
      <alignment horizontal="right"/>
    </xf>
    <xf numFmtId="0" fontId="39" fillId="0" borderId="13" xfId="4" applyFont="1" applyBorder="1"/>
    <xf numFmtId="0" fontId="31" fillId="0" borderId="15" xfId="4" applyFont="1" applyBorder="1"/>
    <xf numFmtId="9" fontId="42" fillId="12" borderId="0" xfId="4" applyNumberFormat="1" applyFont="1" applyFill="1" applyAlignment="1">
      <alignment horizontal="center"/>
    </xf>
    <xf numFmtId="9" fontId="42" fillId="11" borderId="0" xfId="4" applyNumberFormat="1" applyFont="1" applyFill="1" applyAlignment="1">
      <alignment horizontal="center"/>
    </xf>
    <xf numFmtId="177" fontId="39" fillId="11" borderId="0" xfId="4" applyNumberFormat="1" applyFont="1" applyFill="1" applyAlignment="1">
      <alignment horizontal="center"/>
    </xf>
    <xf numFmtId="0" fontId="31" fillId="11" borderId="0" xfId="4" applyFont="1" applyFill="1" applyAlignment="1">
      <alignment horizontal="center"/>
    </xf>
    <xf numFmtId="0" fontId="31" fillId="11" borderId="35" xfId="4" applyFont="1" applyFill="1" applyBorder="1" applyAlignment="1">
      <alignment horizontal="center"/>
    </xf>
    <xf numFmtId="166" fontId="31" fillId="11" borderId="0" xfId="4" applyNumberFormat="1" applyFont="1" applyFill="1" applyAlignment="1">
      <alignment horizontal="center"/>
    </xf>
    <xf numFmtId="166" fontId="31" fillId="11" borderId="35" xfId="4" applyNumberFormat="1" applyFont="1" applyFill="1" applyBorder="1" applyAlignment="1">
      <alignment horizontal="center"/>
    </xf>
    <xf numFmtId="0" fontId="31" fillId="11" borderId="37" xfId="4" applyFont="1" applyFill="1" applyBorder="1" applyAlignment="1">
      <alignment horizontal="center"/>
    </xf>
    <xf numFmtId="0" fontId="31" fillId="11" borderId="40" xfId="4" applyFont="1" applyFill="1" applyBorder="1"/>
    <xf numFmtId="177" fontId="31" fillId="11" borderId="14" xfId="4" applyNumberFormat="1" applyFont="1" applyFill="1" applyBorder="1" applyAlignment="1">
      <alignment horizontal="center"/>
    </xf>
    <xf numFmtId="177" fontId="31" fillId="11" borderId="15" xfId="4" applyNumberFormat="1" applyFont="1" applyFill="1" applyBorder="1" applyAlignment="1">
      <alignment horizontal="center"/>
    </xf>
    <xf numFmtId="9" fontId="42" fillId="12" borderId="35" xfId="4" applyNumberFormat="1" applyFont="1" applyFill="1" applyBorder="1" applyAlignment="1">
      <alignment horizontal="center"/>
    </xf>
    <xf numFmtId="0" fontId="31" fillId="11" borderId="42" xfId="4" applyFont="1" applyFill="1" applyBorder="1"/>
    <xf numFmtId="177" fontId="39" fillId="11" borderId="35" xfId="4" applyNumberFormat="1" applyFont="1" applyFill="1" applyBorder="1" applyAlignment="1">
      <alignment horizontal="center"/>
    </xf>
    <xf numFmtId="182" fontId="31" fillId="12" borderId="11" xfId="4" applyNumberFormat="1" applyFont="1" applyFill="1" applyBorder="1" applyAlignment="1">
      <alignment horizontal="center"/>
    </xf>
    <xf numFmtId="182" fontId="31" fillId="12" borderId="12" xfId="4" applyNumberFormat="1" applyFont="1" applyFill="1" applyBorder="1" applyAlignment="1">
      <alignment horizontal="center"/>
    </xf>
    <xf numFmtId="9" fontId="43" fillId="0" borderId="5" xfId="3" applyFont="1" applyBorder="1"/>
    <xf numFmtId="9" fontId="43" fillId="0" borderId="12" xfId="3" applyFont="1" applyBorder="1"/>
    <xf numFmtId="9" fontId="43" fillId="11" borderId="0" xfId="4" applyNumberFormat="1" applyFont="1" applyFill="1" applyAlignment="1">
      <alignment horizontal="center"/>
    </xf>
    <xf numFmtId="9" fontId="43" fillId="12" borderId="0" xfId="4" applyNumberFormat="1" applyFont="1" applyFill="1" applyAlignment="1">
      <alignment horizontal="center"/>
    </xf>
    <xf numFmtId="9" fontId="44" fillId="11" borderId="35" xfId="4" applyNumberFormat="1" applyFont="1" applyFill="1" applyBorder="1" applyAlignment="1">
      <alignment horizontal="center"/>
    </xf>
    <xf numFmtId="9" fontId="44" fillId="12" borderId="35" xfId="4" applyNumberFormat="1" applyFont="1" applyFill="1" applyBorder="1" applyAlignment="1">
      <alignment horizontal="center"/>
    </xf>
    <xf numFmtId="183" fontId="31" fillId="0" borderId="26" xfId="4" applyNumberFormat="1" applyFont="1" applyBorder="1" applyAlignment="1">
      <alignment horizontal="center"/>
    </xf>
    <xf numFmtId="183" fontId="31" fillId="0" borderId="37" xfId="4" applyNumberFormat="1" applyFont="1" applyBorder="1" applyAlignment="1">
      <alignment horizontal="center"/>
    </xf>
    <xf numFmtId="3" fontId="2" fillId="0" borderId="0" xfId="2" applyNumberFormat="1"/>
    <xf numFmtId="0" fontId="30" fillId="10" borderId="0" xfId="2" applyFont="1" applyFill="1" applyAlignment="1">
      <alignment horizontal="center" vertical="center"/>
    </xf>
    <xf numFmtId="0" fontId="2" fillId="8" borderId="17" xfId="2" applyFill="1" applyBorder="1" applyAlignment="1">
      <alignment vertical="top" wrapText="1"/>
    </xf>
    <xf numFmtId="0" fontId="2" fillId="8" borderId="0" xfId="2" applyFill="1" applyAlignment="1">
      <alignment vertical="top" wrapText="1"/>
    </xf>
  </cellXfs>
  <cellStyles count="5">
    <cellStyle name="Normal" xfId="0" builtinId="0"/>
    <cellStyle name="Normal 2" xfId="2" xr:uid="{806A79D2-2CCD-4EC4-B0DC-70AB95E7BF13}"/>
    <cellStyle name="Normal 3" xfId="4" xr:uid="{1DA17A1B-F494-4D5A-8885-02BB43DD1E74}"/>
    <cellStyle name="Note" xfId="1" builtinId="10"/>
    <cellStyle name="Percent" xfId="3" builtinId="5"/>
  </cellStyles>
  <dxfs count="8"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05B050"/>
      <color rgb="FF0432FF"/>
      <color rgb="FF000000"/>
      <color rgb="FFC9C9C9"/>
      <color rgb="FFFFFFFF"/>
      <color rgb="FF747474"/>
      <color rgb="FF0E2741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06/relationships/rdArray" Target="richData/rdarray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" Target="richData/rdsupportingpropertybag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06/relationships/rdSupportingPropertyBagStructure" Target="richData/rdsupportingpropertybagstructure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Summary!$D$16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Summary!$C$17:$C$22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52-wk Range</c:v>
                </c:pt>
              </c:strCache>
            </c:strRef>
          </c:cat>
          <c:val>
            <c:numRef>
              <c:f>Summary!$D$17:$D$22</c:f>
              <c:numCache>
                <c:formatCode>_([$$-409]* #,##0.00_);_([$$-409]* \(#,##0.00\);_([$$-409]* "-"??_);_(@_)</c:formatCode>
                <c:ptCount val="6"/>
                <c:pt idx="0">
                  <c:v>209</c:v>
                </c:pt>
                <c:pt idx="1">
                  <c:v>86.225114533003151</c:v>
                </c:pt>
                <c:pt idx="2">
                  <c:v>580.32844139715485</c:v>
                </c:pt>
                <c:pt idx="3">
                  <c:v>55.200306792297624</c:v>
                </c:pt>
                <c:pt idx="4">
                  <c:v>797.66146747751634</c:v>
                </c:pt>
                <c:pt idx="5">
                  <c:v>343.35500000000002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C-484B-A731-869C81EDE713}"/>
            </c:ext>
          </c:extLst>
        </c:ser>
        <c:ser>
          <c:idx val="1"/>
          <c:order val="1"/>
          <c:tx>
            <c:strRef>
              <c:f>Summary!$E$16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Summary!$C$17:$C$22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52-wk Range</c:v>
                </c:pt>
              </c:strCache>
            </c:strRef>
          </c:cat>
          <c:val>
            <c:numRef>
              <c:f>Summary!$E$17:$E$22</c:f>
              <c:numCache>
                <c:formatCode>_-[$$-409]* #,##0.00_ ;_-[$$-409]* \-#,##0.00\ ;_-[$$-409]* "-"??_ ;_-@_ </c:formatCode>
                <c:ptCount val="6"/>
                <c:pt idx="0">
                  <c:v>234</c:v>
                </c:pt>
                <c:pt idx="1">
                  <c:v>206.54264864058894</c:v>
                </c:pt>
                <c:pt idx="2">
                  <c:v>391.95835300117847</c:v>
                </c:pt>
                <c:pt idx="3">
                  <c:v>165.51015646385846</c:v>
                </c:pt>
                <c:pt idx="4">
                  <c:v>174.27998310403166</c:v>
                </c:pt>
                <c:pt idx="5">
                  <c:v>56.680000000000007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C-484B-A731-869C81EDE713}"/>
            </c:ext>
          </c:extLst>
        </c:ser>
        <c:ser>
          <c:idx val="2"/>
          <c:order val="2"/>
          <c:tx>
            <c:strRef>
              <c:f>Summary!$F$16</c:f>
              <c:strCache>
                <c:ptCount val="1"/>
                <c:pt idx="0">
                  <c:v>Max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Summary!$C$17:$C$22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52-wk Range</c:v>
                </c:pt>
              </c:strCache>
            </c:strRef>
          </c:cat>
          <c:val>
            <c:numRef>
              <c:f>Summary!$F$17:$F$22</c:f>
              <c:numCache>
                <c:formatCode>_([$$-409]* #,##0.00_);_([$$-409]* \(#,##0.00\);_([$$-409]* "-"??_);_(@_)</c:formatCode>
                <c:ptCount val="6"/>
                <c:pt idx="0">
                  <c:v>443</c:v>
                </c:pt>
                <c:pt idx="1">
                  <c:v>292.76776317359207</c:v>
                </c:pt>
                <c:pt idx="2">
                  <c:v>972.28679439833331</c:v>
                </c:pt>
                <c:pt idx="3">
                  <c:v>220.71046325615609</c:v>
                </c:pt>
                <c:pt idx="4">
                  <c:v>971.941450581548</c:v>
                </c:pt>
                <c:pt idx="5">
                  <c:v>400.03500000000003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3C-484B-A731-869C81EDE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3977456"/>
        <c:axId val="764838511"/>
      </c:barChart>
      <c:catAx>
        <c:axId val="144397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64838511"/>
        <c:crosses val="autoZero"/>
        <c:auto val="1"/>
        <c:lblAlgn val="ctr"/>
        <c:lblOffset val="100"/>
        <c:noMultiLvlLbl val="0"/>
      </c:catAx>
      <c:valAx>
        <c:axId val="764838511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44397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248920</xdr:colOff>
      <xdr:row>15</xdr:row>
      <xdr:rowOff>5080</xdr:rowOff>
    </xdr:from>
    <xdr:to>
      <xdr:col>12</xdr:col>
      <xdr:colOff>294640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28AB3-D026-EAC9-A530-BBE93EF57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873760</xdr:colOff>
      <xdr:row>19</xdr:row>
      <xdr:rowOff>121920</xdr:rowOff>
    </xdr:from>
    <xdr:to>
      <xdr:col>12</xdr:col>
      <xdr:colOff>223520</xdr:colOff>
      <xdr:row>19</xdr:row>
      <xdr:rowOff>121920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D19CFE1-C7B0-FC28-752B-A7AC0563C76D}"/>
            </a:ext>
          </a:extLst>
        </xdr:cNvPr>
        <xdr:cNvCxnSpPr/>
      </xdr:nvCxnSpPr>
      <xdr:spPr>
        <a:xfrm>
          <a:off x="5496560" y="4124960"/>
          <a:ext cx="48971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%20Drive\Career%20stuff\ADBE\Qualitative%20Analysis%20-%20ADBE.xlsx" TargetMode="External"/><Relationship Id="rId1" Type="http://schemas.openxmlformats.org/officeDocument/2006/relationships/externalLinkPath" Target="Qualitative%20Analysis%20-%20AD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Model"/>
      <sheetName val="DCF"/>
      <sheetName val="DCF model"/>
      <sheetName val="Valuation"/>
      <sheetName val="Relative Valuation"/>
      <sheetName val="Scenarios"/>
      <sheetName val="Model Summary"/>
      <sheetName val="Share Prices"/>
      <sheetName val="BS"/>
      <sheetName val="IS"/>
      <sheetName val="CF"/>
    </sheetNames>
    <sheetDataSet>
      <sheetData sheetId="0"/>
      <sheetData sheetId="1">
        <row r="2">
          <cell r="L2" t="str">
            <v>FY2022</v>
          </cell>
          <cell r="M2" t="str">
            <v>FY2023</v>
          </cell>
          <cell r="N2" t="str">
            <v>FY2024</v>
          </cell>
          <cell r="O2" t="str">
            <v>FY2025</v>
          </cell>
          <cell r="P2" t="str">
            <v>FY2026</v>
          </cell>
          <cell r="Q2" t="str">
            <v>FY2027</v>
          </cell>
          <cell r="R2" t="str">
            <v>FY2028</v>
          </cell>
          <cell r="S2" t="str">
            <v>FY2029</v>
          </cell>
          <cell r="T2" t="str">
            <v>FY2030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</row>
        <row r="6">
          <cell r="L6"/>
          <cell r="M6"/>
          <cell r="N6"/>
          <cell r="O6"/>
          <cell r="P6"/>
          <cell r="Q6"/>
          <cell r="R6"/>
          <cell r="S6"/>
          <cell r="T6"/>
        </row>
        <row r="8">
          <cell r="L8"/>
          <cell r="M8"/>
          <cell r="N8"/>
          <cell r="O8"/>
          <cell r="P8"/>
          <cell r="Q8"/>
          <cell r="R8"/>
          <cell r="S8"/>
          <cell r="T8"/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</row>
        <row r="15">
          <cell r="L15"/>
          <cell r="M15"/>
          <cell r="N15"/>
          <cell r="O15"/>
          <cell r="P15"/>
          <cell r="Q15"/>
          <cell r="R15"/>
          <cell r="S15"/>
          <cell r="T15"/>
        </row>
        <row r="16">
          <cell r="L16"/>
          <cell r="M16"/>
          <cell r="N16"/>
          <cell r="O16"/>
          <cell r="P16"/>
          <cell r="Q16"/>
          <cell r="R16"/>
          <cell r="S16"/>
          <cell r="T16"/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" c="276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  <v t="i">316</v>
    <v t="i">317</v>
    <v t="i">320</v>
    <v t="i">321</v>
    <v t="i">322</v>
    <v t="i">323</v>
    <v t="i">324</v>
    <v t="i">327</v>
    <v t="i">328</v>
    <v t="i">329</v>
    <v t="i">331</v>
    <v t="i">334</v>
    <v t="i">335</v>
    <v t="i">336</v>
    <v t="i">337</v>
    <v t="i">338</v>
    <v t="i">341</v>
    <v t="i">342</v>
    <v t="i">343</v>
    <v t="i">344</v>
    <v t="i">345</v>
    <v t="i">348</v>
    <v t="i">349</v>
    <v t="i">350</v>
    <v t="i">351</v>
    <v t="i">352</v>
    <v t="i">355</v>
    <v t="i">356</v>
    <v t="i">357</v>
    <v t="i">359</v>
    <v t="i">362</v>
    <v t="i">363</v>
    <v t="i">364</v>
    <v t="i">366</v>
    <v t="i">369</v>
    <v t="i">370</v>
    <v t="i">371</v>
    <v t="i">372</v>
    <v t="i">373</v>
    <v t="i">376</v>
    <v t="i">377</v>
    <v t="i">378</v>
    <v t="i">379</v>
    <v t="i">380</v>
    <v t="i">384</v>
    <v t="i">385</v>
    <v t="i">386</v>
    <v t="i">387</v>
    <v t="i">390</v>
    <v t="i">391</v>
    <v t="i">392</v>
    <v t="i">393</v>
    <v t="i">394</v>
    <v t="i">397</v>
    <v t="i">398</v>
    <v t="i">399</v>
    <v t="i">400</v>
    <v t="i">401</v>
    <v t="i">404</v>
  </a>
  <a r="1" c="276">
    <v>441</v>
    <v>430.57</v>
    <v>431.18</v>
    <v>422.63</v>
    <v>419.58</v>
    <v>405.92</v>
    <v>408.5</v>
    <v>412.71</v>
    <v>417.28</v>
    <v>426.93</v>
    <v>429.99</v>
    <v>436.36</v>
    <v>437.32</v>
    <v>437.28</v>
    <v>435.38</v>
    <v>438.6</v>
    <v>442.84</v>
    <v>441.68</v>
    <v>446</v>
    <v>437.45</v>
    <v>438.6</v>
    <v>440.23</v>
    <v>437.63</v>
    <v>435.4</v>
    <v>433.07</v>
    <v>451.1</v>
    <v>458.82</v>
    <v>462.76</v>
    <v>459.22</v>
    <v>460.16</v>
    <v>464.11</v>
    <v>456.99</v>
    <v>454.69</v>
    <v>444.32</v>
    <v>444.42</v>
    <v>443.41</v>
    <v>441.5</v>
    <v>437.19</v>
    <v>438.56</v>
    <v>440.72</v>
    <v>446.03</v>
    <v>451.24</v>
    <v>444.78</v>
    <v>449.4</v>
    <v>435.08</v>
    <v>433.66</v>
    <v>438.6</v>
    <v>377.84</v>
    <v>394.74</v>
    <v>399.34</v>
    <v>391.37</v>
    <v>387.89</v>
    <v>389.61</v>
    <v>387.26</v>
    <v>394.47</v>
    <v>403.64</v>
    <v>397.81</v>
    <v>396.15</v>
    <v>385.71</v>
    <v>383.53</v>
    <v>383.2</v>
    <v>385.78</v>
    <v>367.25</v>
    <v>349.07</v>
    <v>340.7</v>
    <v>340</v>
    <v>364.64</v>
    <v>350.05</v>
    <v>352.47</v>
    <v>350.91</v>
    <v>350.38</v>
    <v>344.19</v>
    <v>348.8</v>
    <v>343.22</v>
    <v>349.91</v>
    <v>351.96</v>
    <v>360.91</v>
    <v>367.72</v>
    <v>368.62</v>
    <v>370.98</v>
    <v>374.98</v>
    <v>374.63</v>
    <v>380.87</v>
    <v>381.06</v>
    <v>382.98</v>
    <v>384.97</v>
    <v>383.99</v>
    <v>383.28</v>
    <v>395.94</v>
    <v>397.4</v>
    <v>399.47</v>
    <v>404.69</v>
    <v>417.125</v>
    <v>420.68</v>
    <v>417.61</v>
    <v>414.03</v>
    <v>414.33</v>
    <v>407.69</v>
    <v>413.1</v>
    <v>412.23</v>
    <v>413.36</v>
    <v>415.09</v>
    <v>403.4</v>
    <v>412.49</v>
    <v>413.91</v>
    <v>415.2</v>
    <v>416.92</v>
    <v>416.26</v>
    <v>416.06</v>
    <v>412.84</v>
    <v>413.68</v>
    <v>391.68</v>
    <v>401.73</v>
    <v>382.68</v>
    <v>378.04</v>
    <v>376.92</v>
    <v>380.12</v>
    <v>382.34</v>
    <v>387.55</v>
    <v>384.95</v>
    <v>385.83</v>
    <v>386.88</v>
    <v>392.1</v>
    <v>378.47</v>
    <v>379.31</v>
    <v>376.93</v>
    <v>382.24</v>
    <v>373.38</v>
    <v>371.43</v>
    <v>363.35</v>
    <v>366.99</v>
    <v>364.18</v>
    <v>361.77</v>
    <v>366.45</v>
    <v>365.79</v>
    <v>367.68</v>
    <v>372.87</v>
    <v>372.46</v>
    <v>371.69</v>
    <v>370.74</v>
    <v>369.47</v>
    <v>370.7</v>
    <v>364</v>
    <v>357.69</v>
    <v>347.8</v>
    <v>338.85</v>
    <v>338.74</v>
    <v>345.62</v>
    <v>338.27</v>
    <v>341.05</v>
    <v>333.65</v>
    <v>338.43</v>
    <v>351.07</v>
    <v>348.58</v>
    <v>354.85</v>
    <v>357.24</v>
    <v>361.03</v>
    <v>353.43</v>
    <v>353.43</v>
    <v>362.09</v>
    <v>363.21</v>
    <v>354.91</v>
    <v>356.35</v>
    <v>353.96</v>
    <v>356.7</v>
    <v>345.63</v>
    <v>348.5</v>
    <v>344.31</v>
    <v>348.97</v>
    <v>358.66</v>
    <v>354.06</v>
    <v>350.16</v>
    <v>350.55</v>
    <v>349.36</v>
    <v>347.1</v>
    <v>352.73</v>
    <v>362.07</v>
    <v>367.46</v>
    <v>365.9</v>
    <v>364.08</v>
    <v>361.78</v>
    <v>353.27</v>
    <v>354.16</v>
    <v>360.37</v>
    <v>359.42</v>
    <v>352.75</v>
    <v>343.72</v>
    <v>351.48</v>
    <v>346.74</v>
    <v>350.14</v>
    <v>348.31</v>
    <v>348.77</v>
    <v>347.47</v>
    <v>337.51</v>
    <v>339.32</v>
    <v>335.94</v>
    <v>330.63</v>
    <v>329.23</v>
    <v>333.26</v>
    <v>343.4</v>
    <v>357.55</v>
    <v>354.09</v>
    <v>354.12</v>
    <v>353.52</v>
    <v>357.8</v>
    <v>359.91</v>
    <v>337.86</v>
    <v>339.24</v>
    <v>340.31</v>
    <v>337.47</v>
    <v>335.35</v>
    <v>335.53</v>
    <v>327.35000000000002</v>
    <v>326.95</v>
    <v>328.85</v>
    <v>333.22</v>
    <v>337.05</v>
    <v>333.6</v>
    <v>331.11</v>
    <v>325.07</v>
    <v>324.47000000000003</v>
    <v>318.11</v>
    <v>312.39999999999998</v>
    <v>324.19</v>
    <v>318.73</v>
    <v>319.55</v>
    <v>317.52</v>
    <v>320.13</v>
    <v>322.85000000000002</v>
    <v>322.81</v>
    <v>326.77999999999997</v>
    <v>328.73</v>
    <v>346.26</v>
    <v>339.12</v>
    <v>344.32</v>
    <v>343.13</v>
    <v>350.43</v>
    <v>356.43</v>
    <v>351.15</v>
    <v>347.89</v>
    <v>354.66</v>
    <v>355.81</v>
    <v>355.86</v>
    <v>357.53</v>
    <v>352.42</v>
    <v>352.98</v>
    <v>353.8</v>
    <v>353.16</v>
    <v>352.51</v>
    <v>349.99</v>
    <v>333.3</v>
    <v>331.56</v>
    <v>335.99</v>
    <v>338.1</v>
    <v>339.04</v>
    <v>333.95</v>
    <v>327.64999999999998</v>
    <v>309.93</v>
    <v>304.44</v>
    <v>304.08999999999997</v>
    <v>296.12</v>
    <v>290.37</v>
    <v>294.23</v>
    <v>299.73</v>
    <v>301.07</v>
    <v>304.72000000000003</v>
    <v>297.42</v>
    <v>299.58</v>
    <v>291.64999999999998</v>
    <v>293.25</v>
    <v>293.38</v>
    <v>271.93</v>
    <v>279.70999999999998</v>
    <v>269.39</v>
    <v>268.38</v>
    <v>266.89999999999998</v>
  </a>
  <a r="1">
    <v t="i">0</v>
  </a>
  <a r="1">
    <v>254.14</v>
  </a>
</arrayData>
</file>

<file path=xl/richData/rdrichvalue.xml><?xml version="1.0" encoding="utf-8"?>
<rvData xmlns="http://schemas.microsoft.com/office/spreadsheetml/2017/richdata" count="552">
  <rv s="0">
    <fb>254.14</fb>
    <v>0</v>
  </rv>
  <rv s="0">
    <fb>45659</fb>
    <v>1</v>
  </rv>
  <rv s="0">
    <fb>441</fb>
    <v>0</v>
  </rv>
  <rv s="0">
    <fb>45660</fb>
    <v>1</v>
  </rv>
  <rv s="0">
    <fb>430.57</fb>
    <v>0</v>
  </rv>
  <rv s="0">
    <fb>45663</fb>
    <v>1</v>
  </rv>
  <rv s="0">
    <fb>431.18</fb>
    <v>0</v>
  </rv>
  <rv s="0">
    <fb>45664</fb>
    <v>1</v>
  </rv>
  <rv s="0">
    <fb>422.63</fb>
    <v>0</v>
  </rv>
  <rv s="0">
    <fb>45665</fb>
    <v>1</v>
  </rv>
  <rv s="0">
    <fb>419.58</fb>
    <v>0</v>
  </rv>
  <rv s="0">
    <fb>45667</fb>
    <v>1</v>
  </rv>
  <rv s="0">
    <fb>405.92</fb>
    <v>0</v>
  </rv>
  <rv s="0">
    <fb>45670</fb>
    <v>1</v>
  </rv>
  <rv s="0">
    <fb>408.5</fb>
    <v>0</v>
  </rv>
  <rv s="0">
    <fb>45671</fb>
    <v>1</v>
  </rv>
  <rv s="0">
    <fb>412.71</fb>
    <v>0</v>
  </rv>
  <rv s="0">
    <fb>45672</fb>
    <v>1</v>
  </rv>
  <rv s="0">
    <fb>417.28</fb>
    <v>0</v>
  </rv>
  <rv s="0">
    <fb>45673</fb>
    <v>1</v>
  </rv>
  <rv s="0">
    <fb>426.93</fb>
    <v>0</v>
  </rv>
  <rv s="0">
    <fb>45674</fb>
    <v>1</v>
  </rv>
  <rv s="0">
    <fb>429.99</fb>
    <v>0</v>
  </rv>
  <rv s="0">
    <fb>45678</fb>
    <v>1</v>
  </rv>
  <rv s="0">
    <fb>436.36</fb>
    <v>0</v>
  </rv>
  <rv s="0">
    <fb>45679</fb>
    <v>1</v>
  </rv>
  <rv s="0">
    <fb>437.32</fb>
    <v>0</v>
  </rv>
  <rv s="0">
    <fb>45680</fb>
    <v>1</v>
  </rv>
  <rv s="0">
    <fb>437.28</fb>
    <v>0</v>
  </rv>
  <rv s="0">
    <fb>45681</fb>
    <v>1</v>
  </rv>
  <rv s="0">
    <fb>435.38</fb>
    <v>0</v>
  </rv>
  <rv s="0">
    <fb>45684</fb>
    <v>1</v>
  </rv>
  <rv s="0">
    <fb>438.6</fb>
    <v>0</v>
  </rv>
  <rv s="0">
    <fb>45685</fb>
    <v>1</v>
  </rv>
  <rv s="0">
    <fb>442.84</fb>
    <v>0</v>
  </rv>
  <rv s="0">
    <fb>45686</fb>
    <v>1</v>
  </rv>
  <rv s="0">
    <fb>441.68</fb>
    <v>0</v>
  </rv>
  <rv s="0">
    <fb>45687</fb>
    <v>1</v>
  </rv>
  <rv s="0">
    <fb>446</fb>
    <v>0</v>
  </rv>
  <rv s="0">
    <fb>45688</fb>
    <v>1</v>
  </rv>
  <rv s="0">
    <fb>437.45</fb>
    <v>0</v>
  </rv>
  <rv s="0">
    <fb>45691</fb>
    <v>1</v>
  </rv>
  <rv s="0">
    <fb>45692</fb>
    <v>1</v>
  </rv>
  <rv s="0">
    <fb>440.23</fb>
    <v>0</v>
  </rv>
  <rv s="0">
    <fb>45693</fb>
    <v>1</v>
  </rv>
  <rv s="0">
    <fb>437.63</fb>
    <v>0</v>
  </rv>
  <rv s="0">
    <fb>45694</fb>
    <v>1</v>
  </rv>
  <rv s="0">
    <fb>435.4</fb>
    <v>0</v>
  </rv>
  <rv s="0">
    <fb>45695</fb>
    <v>1</v>
  </rv>
  <rv s="0">
    <fb>433.07</fb>
    <v>0</v>
  </rv>
  <rv s="0">
    <fb>45698</fb>
    <v>1</v>
  </rv>
  <rv s="0">
    <fb>451.1</fb>
    <v>0</v>
  </rv>
  <rv s="0">
    <fb>45699</fb>
    <v>1</v>
  </rv>
  <rv s="0">
    <fb>458.82</fb>
    <v>0</v>
  </rv>
  <rv s="0">
    <fb>45700</fb>
    <v>1</v>
  </rv>
  <rv s="0">
    <fb>462.76</fb>
    <v>0</v>
  </rv>
  <rv s="0">
    <fb>45701</fb>
    <v>1</v>
  </rv>
  <rv s="0">
    <fb>459.22</fb>
    <v>0</v>
  </rv>
  <rv s="0">
    <fb>45702</fb>
    <v>1</v>
  </rv>
  <rv s="0">
    <fb>460.16</fb>
    <v>0</v>
  </rv>
  <rv s="0">
    <fb>45706</fb>
    <v>1</v>
  </rv>
  <rv s="0">
    <fb>464.11</fb>
    <v>0</v>
  </rv>
  <rv s="0">
    <fb>45707</fb>
    <v>1</v>
  </rv>
  <rv s="0">
    <fb>456.99</fb>
    <v>0</v>
  </rv>
  <rv s="0">
    <fb>45708</fb>
    <v>1</v>
  </rv>
  <rv s="0">
    <fb>454.69</fb>
    <v>0</v>
  </rv>
  <rv s="0">
    <fb>45709</fb>
    <v>1</v>
  </rv>
  <rv s="0">
    <fb>444.32</fb>
    <v>0</v>
  </rv>
  <rv s="0">
    <fb>45712</fb>
    <v>1</v>
  </rv>
  <rv s="0">
    <fb>444.42</fb>
    <v>0</v>
  </rv>
  <rv s="0">
    <fb>45713</fb>
    <v>1</v>
  </rv>
  <rv s="0">
    <fb>443.41</fb>
    <v>0</v>
  </rv>
  <rv s="0">
    <fb>45714</fb>
    <v>1</v>
  </rv>
  <rv s="0">
    <fb>441.5</fb>
    <v>0</v>
  </rv>
  <rv s="0">
    <fb>45715</fb>
    <v>1</v>
  </rv>
  <rv s="0">
    <fb>437.19</fb>
    <v>0</v>
  </rv>
  <rv s="0">
    <fb>45716</fb>
    <v>1</v>
  </rv>
  <rv s="0">
    <fb>438.56</fb>
    <v>0</v>
  </rv>
  <rv s="0">
    <fb>45719</fb>
    <v>1</v>
  </rv>
  <rv s="0">
    <fb>440.72</fb>
    <v>0</v>
  </rv>
  <rv s="0">
    <fb>45720</fb>
    <v>1</v>
  </rv>
  <rv s="0">
    <fb>446.03</fb>
    <v>0</v>
  </rv>
  <rv s="0">
    <fb>45721</fb>
    <v>1</v>
  </rv>
  <rv s="0">
    <fb>451.24</fb>
    <v>0</v>
  </rv>
  <rv s="0">
    <fb>45722</fb>
    <v>1</v>
  </rv>
  <rv s="0">
    <fb>444.78</fb>
    <v>0</v>
  </rv>
  <rv s="0">
    <fb>45723</fb>
    <v>1</v>
  </rv>
  <rv s="0">
    <fb>449.4</fb>
    <v>0</v>
  </rv>
  <rv s="0">
    <fb>45726</fb>
    <v>1</v>
  </rv>
  <rv s="0">
    <fb>435.08</fb>
    <v>0</v>
  </rv>
  <rv s="0">
    <fb>45727</fb>
    <v>1</v>
  </rv>
  <rv s="0">
    <fb>433.66</fb>
    <v>0</v>
  </rv>
  <rv s="0">
    <fb>45728</fb>
    <v>1</v>
  </rv>
  <rv s="0">
    <fb>45729</fb>
    <v>1</v>
  </rv>
  <rv s="0">
    <fb>377.84</fb>
    <v>0</v>
  </rv>
  <rv s="0">
    <fb>45730</fb>
    <v>1</v>
  </rv>
  <rv s="0">
    <fb>394.74</fb>
    <v>0</v>
  </rv>
  <rv s="0">
    <fb>45733</fb>
    <v>1</v>
  </rv>
  <rv s="0">
    <fb>399.34</fb>
    <v>0</v>
  </rv>
  <rv s="0">
    <fb>45734</fb>
    <v>1</v>
  </rv>
  <rv s="0">
    <fb>391.37</fb>
    <v>0</v>
  </rv>
  <rv s="0">
    <fb>45735</fb>
    <v>1</v>
  </rv>
  <rv s="0">
    <fb>387.89</fb>
    <v>0</v>
  </rv>
  <rv s="0">
    <fb>45736</fb>
    <v>1</v>
  </rv>
  <rv s="0">
    <fb>389.61</fb>
    <v>0</v>
  </rv>
  <rv s="0">
    <fb>45737</fb>
    <v>1</v>
  </rv>
  <rv s="0">
    <fb>387.26</fb>
    <v>0</v>
  </rv>
  <rv s="0">
    <fb>45740</fb>
    <v>1</v>
  </rv>
  <rv s="0">
    <fb>394.47</fb>
    <v>0</v>
  </rv>
  <rv s="0">
    <fb>45741</fb>
    <v>1</v>
  </rv>
  <rv s="0">
    <fb>403.64</fb>
    <v>0</v>
  </rv>
  <rv s="0">
    <fb>45742</fb>
    <v>1</v>
  </rv>
  <rv s="0">
    <fb>397.81</fb>
    <v>0</v>
  </rv>
  <rv s="0">
    <fb>45743</fb>
    <v>1</v>
  </rv>
  <rv s="0">
    <fb>396.15</fb>
    <v>0</v>
  </rv>
  <rv s="0">
    <fb>45744</fb>
    <v>1</v>
  </rv>
  <rv s="0">
    <fb>385.71</fb>
    <v>0</v>
  </rv>
  <rv s="0">
    <fb>45747</fb>
    <v>1</v>
  </rv>
  <rv s="0">
    <fb>383.53</fb>
    <v>0</v>
  </rv>
  <rv s="0">
    <fb>45748</fb>
    <v>1</v>
  </rv>
  <rv s="0">
    <fb>383.2</fb>
    <v>0</v>
  </rv>
  <rv s="0">
    <fb>45749</fb>
    <v>1</v>
  </rv>
  <rv s="0">
    <fb>385.78</fb>
    <v>0</v>
  </rv>
  <rv s="0">
    <fb>45750</fb>
    <v>1</v>
  </rv>
  <rv s="0">
    <fb>367.25</fb>
    <v>0</v>
  </rv>
  <rv s="0">
    <fb>45751</fb>
    <v>1</v>
  </rv>
  <rv s="0">
    <fb>349.07</fb>
    <v>0</v>
  </rv>
  <rv s="0">
    <fb>45754</fb>
    <v>1</v>
  </rv>
  <rv s="0">
    <fb>340.7</fb>
    <v>0</v>
  </rv>
  <rv s="0">
    <fb>45755</fb>
    <v>1</v>
  </rv>
  <rv s="0">
    <fb>340</fb>
    <v>0</v>
  </rv>
  <rv s="0">
    <fb>45756</fb>
    <v>1</v>
  </rv>
  <rv s="0">
    <fb>364.64</fb>
    <v>0</v>
  </rv>
  <rv s="0">
    <fb>45757</fb>
    <v>1</v>
  </rv>
  <rv s="0">
    <fb>350.05</fb>
    <v>0</v>
  </rv>
  <rv s="0">
    <fb>45758</fb>
    <v>1</v>
  </rv>
  <rv s="0">
    <fb>352.47</fb>
    <v>0</v>
  </rv>
  <rv s="0">
    <fb>45761</fb>
    <v>1</v>
  </rv>
  <rv s="0">
    <fb>350.91</fb>
    <v>0</v>
  </rv>
  <rv s="0">
    <fb>45762</fb>
    <v>1</v>
  </rv>
  <rv s="0">
    <fb>350.38</fb>
    <v>0</v>
  </rv>
  <rv s="0">
    <fb>45763</fb>
    <v>1</v>
  </rv>
  <rv s="0">
    <fb>344.19</fb>
    <v>0</v>
  </rv>
  <rv s="0">
    <fb>45764</fb>
    <v>1</v>
  </rv>
  <rv s="0">
    <fb>348.8</fb>
    <v>0</v>
  </rv>
  <rv s="0">
    <fb>45768</fb>
    <v>1</v>
  </rv>
  <rv s="0">
    <fb>343.22</fb>
    <v>0</v>
  </rv>
  <rv s="0">
    <fb>45769</fb>
    <v>1</v>
  </rv>
  <rv s="0">
    <fb>349.91</fb>
    <v>0</v>
  </rv>
  <rv s="0">
    <fb>45770</fb>
    <v>1</v>
  </rv>
  <rv s="0">
    <fb>351.96</fb>
    <v>0</v>
  </rv>
  <rv s="0">
    <fb>45771</fb>
    <v>1</v>
  </rv>
  <rv s="0">
    <fb>360.91</fb>
    <v>0</v>
  </rv>
  <rv s="0">
    <fb>45772</fb>
    <v>1</v>
  </rv>
  <rv s="0">
    <fb>367.72</fb>
    <v>0</v>
  </rv>
  <rv s="0">
    <fb>45775</fb>
    <v>1</v>
  </rv>
  <rv s="0">
    <fb>368.62</fb>
    <v>0</v>
  </rv>
  <rv s="0">
    <fb>45776</fb>
    <v>1</v>
  </rv>
  <rv s="0">
    <fb>370.98</fb>
    <v>0</v>
  </rv>
  <rv s="0">
    <fb>45777</fb>
    <v>1</v>
  </rv>
  <rv s="0">
    <fb>374.98</fb>
    <v>0</v>
  </rv>
  <rv s="0">
    <fb>45778</fb>
    <v>1</v>
  </rv>
  <rv s="0">
    <fb>374.63</fb>
    <v>0</v>
  </rv>
  <rv s="0">
    <fb>45779</fb>
    <v>1</v>
  </rv>
  <rv s="0">
    <fb>380.87</fb>
    <v>0</v>
  </rv>
  <rv s="0">
    <fb>45782</fb>
    <v>1</v>
  </rv>
  <rv s="0">
    <fb>381.06</fb>
    <v>0</v>
  </rv>
  <rv s="0">
    <fb>45783</fb>
    <v>1</v>
  </rv>
  <rv s="0">
    <fb>382.98</fb>
    <v>0</v>
  </rv>
  <rv s="0">
    <fb>45784</fb>
    <v>1</v>
  </rv>
  <rv s="0">
    <fb>384.97</fb>
    <v>0</v>
  </rv>
  <rv s="0">
    <fb>45785</fb>
    <v>1</v>
  </rv>
  <rv s="0">
    <fb>383.99</fb>
    <v>0</v>
  </rv>
  <rv s="0">
    <fb>45786</fb>
    <v>1</v>
  </rv>
  <rv s="0">
    <fb>383.28</fb>
    <v>0</v>
  </rv>
  <rv s="0">
    <fb>45789</fb>
    <v>1</v>
  </rv>
  <rv s="0">
    <fb>395.94</fb>
    <v>0</v>
  </rv>
  <rv s="0">
    <fb>45790</fb>
    <v>1</v>
  </rv>
  <rv s="0">
    <fb>397.4</fb>
    <v>0</v>
  </rv>
  <rv s="0">
    <fb>45791</fb>
    <v>1</v>
  </rv>
  <rv s="0">
    <fb>399.47</fb>
    <v>0</v>
  </rv>
  <rv s="0">
    <fb>45792</fb>
    <v>1</v>
  </rv>
  <rv s="0">
    <fb>404.69</fb>
    <v>0</v>
  </rv>
  <rv s="0">
    <fb>45793</fb>
    <v>1</v>
  </rv>
  <rv s="0">
    <fb>417.125</fb>
    <v>0</v>
  </rv>
  <rv s="0">
    <fb>45796</fb>
    <v>1</v>
  </rv>
  <rv s="0">
    <fb>420.68</fb>
    <v>0</v>
  </rv>
  <rv s="0">
    <fb>45797</fb>
    <v>1</v>
  </rv>
  <rv s="0">
    <fb>417.61</fb>
    <v>0</v>
  </rv>
  <rv s="0">
    <fb>45798</fb>
    <v>1</v>
  </rv>
  <rv s="0">
    <fb>414.03</fb>
    <v>0</v>
  </rv>
  <rv s="0">
    <fb>45799</fb>
    <v>1</v>
  </rv>
  <rv s="0">
    <fb>414.33</fb>
    <v>0</v>
  </rv>
  <rv s="0">
    <fb>45800</fb>
    <v>1</v>
  </rv>
  <rv s="0">
    <fb>407.69</fb>
    <v>0</v>
  </rv>
  <rv s="0">
    <fb>45804</fb>
    <v>1</v>
  </rv>
  <rv s="0">
    <fb>413.1</fb>
    <v>0</v>
  </rv>
  <rv s="0">
    <fb>45805</fb>
    <v>1</v>
  </rv>
  <rv s="0">
    <fb>412.23</fb>
    <v>0</v>
  </rv>
  <rv s="0">
    <fb>45806</fb>
    <v>1</v>
  </rv>
  <rv s="0">
    <fb>413.36</fb>
    <v>0</v>
  </rv>
  <rv s="0">
    <fb>45807</fb>
    <v>1</v>
  </rv>
  <rv s="0">
    <fb>415.09</fb>
    <v>0</v>
  </rv>
  <rv s="0">
    <fb>45810</fb>
    <v>1</v>
  </rv>
  <rv s="0">
    <fb>403.4</fb>
    <v>0</v>
  </rv>
  <rv s="0">
    <fb>45811</fb>
    <v>1</v>
  </rv>
  <rv s="0">
    <fb>412.49</fb>
    <v>0</v>
  </rv>
  <rv s="0">
    <fb>45812</fb>
    <v>1</v>
  </rv>
  <rv s="0">
    <fb>413.91</fb>
    <v>0</v>
  </rv>
  <rv s="0">
    <fb>45813</fb>
    <v>1</v>
  </rv>
  <rv s="0">
    <fb>415.2</fb>
    <v>0</v>
  </rv>
  <rv s="0">
    <fb>45814</fb>
    <v>1</v>
  </rv>
  <rv s="0">
    <fb>416.92</fb>
    <v>0</v>
  </rv>
  <rv s="0">
    <fb>45817</fb>
    <v>1</v>
  </rv>
  <rv s="0">
    <fb>416.26</fb>
    <v>0</v>
  </rv>
  <rv s="0">
    <fb>45818</fb>
    <v>1</v>
  </rv>
  <rv s="0">
    <fb>416.06</fb>
    <v>0</v>
  </rv>
  <rv s="0">
    <fb>45819</fb>
    <v>1</v>
  </rv>
  <rv s="0">
    <fb>412.84</fb>
    <v>0</v>
  </rv>
  <rv s="0">
    <fb>45820</fb>
    <v>1</v>
  </rv>
  <rv s="0">
    <fb>413.68</fb>
    <v>0</v>
  </rv>
  <rv s="0">
    <fb>45821</fb>
    <v>1</v>
  </rv>
  <rv s="0">
    <fb>391.68</fb>
    <v>0</v>
  </rv>
  <rv s="0">
    <fb>45824</fb>
    <v>1</v>
  </rv>
  <rv s="0">
    <fb>401.73</fb>
    <v>0</v>
  </rv>
  <rv s="0">
    <fb>45825</fb>
    <v>1</v>
  </rv>
  <rv s="0">
    <fb>382.68</fb>
    <v>0</v>
  </rv>
  <rv s="0">
    <fb>45826</fb>
    <v>1</v>
  </rv>
  <rv s="0">
    <fb>378.04</fb>
    <v>0</v>
  </rv>
  <rv s="0">
    <fb>45828</fb>
    <v>1</v>
  </rv>
  <rv s="0">
    <fb>376.92</fb>
    <v>0</v>
  </rv>
  <rv s="0">
    <fb>45831</fb>
    <v>1</v>
  </rv>
  <rv s="0">
    <fb>380.12</fb>
    <v>0</v>
  </rv>
  <rv s="0">
    <fb>45832</fb>
    <v>1</v>
  </rv>
  <rv s="0">
    <fb>382.34</fb>
    <v>0</v>
  </rv>
  <rv s="0">
    <fb>45833</fb>
    <v>1</v>
  </rv>
  <rv s="0">
    <fb>387.55</fb>
    <v>0</v>
  </rv>
  <rv s="0">
    <fb>45834</fb>
    <v>1</v>
  </rv>
  <rv s="0">
    <fb>384.95</fb>
    <v>0</v>
  </rv>
  <rv s="0">
    <fb>45835</fb>
    <v>1</v>
  </rv>
  <rv s="0">
    <fb>385.83</fb>
    <v>0</v>
  </rv>
  <rv s="0">
    <fb>45838</fb>
    <v>1</v>
  </rv>
  <rv s="0">
    <fb>386.88</fb>
    <v>0</v>
  </rv>
  <rv s="0">
    <fb>45839</fb>
    <v>1</v>
  </rv>
  <rv s="0">
    <fb>392.1</fb>
    <v>0</v>
  </rv>
  <rv s="0">
    <fb>45840</fb>
    <v>1</v>
  </rv>
  <rv s="0">
    <fb>378.47</fb>
    <v>0</v>
  </rv>
  <rv s="0">
    <fb>45841</fb>
    <v>1</v>
  </rv>
  <rv s="0">
    <fb>379.31</fb>
    <v>0</v>
  </rv>
  <rv s="0">
    <fb>45845</fb>
    <v>1</v>
  </rv>
  <rv s="0">
    <fb>376.93</fb>
    <v>0</v>
  </rv>
  <rv s="0">
    <fb>45846</fb>
    <v>1</v>
  </rv>
  <rv s="0">
    <fb>382.24</fb>
    <v>0</v>
  </rv>
  <rv s="0">
    <fb>45847</fb>
    <v>1</v>
  </rv>
  <rv s="0">
    <fb>373.38</fb>
    <v>0</v>
  </rv>
  <rv s="0">
    <fb>45848</fb>
    <v>1</v>
  </rv>
  <rv s="0">
    <fb>371.43</fb>
    <v>0</v>
  </rv>
  <rv s="0">
    <fb>45849</fb>
    <v>1</v>
  </rv>
  <rv s="0">
    <fb>363.35</fb>
    <v>0</v>
  </rv>
  <rv s="0">
    <fb>45852</fb>
    <v>1</v>
  </rv>
  <rv s="0">
    <fb>366.99</fb>
    <v>0</v>
  </rv>
  <rv s="0">
    <fb>45853</fb>
    <v>1</v>
  </rv>
  <rv s="0">
    <fb>364.18</fb>
    <v>0</v>
  </rv>
  <rv s="0">
    <fb>45854</fb>
    <v>1</v>
  </rv>
  <rv s="0">
    <fb>361.77</fb>
    <v>0</v>
  </rv>
  <rv s="0">
    <fb>45855</fb>
    <v>1</v>
  </rv>
  <rv s="0">
    <fb>366.45</fb>
    <v>0</v>
  </rv>
  <rv s="0">
    <fb>45856</fb>
    <v>1</v>
  </rv>
  <rv s="0">
    <fb>365.79</fb>
    <v>0</v>
  </rv>
  <rv s="0">
    <fb>45859</fb>
    <v>1</v>
  </rv>
  <rv s="0">
    <fb>367.68</fb>
    <v>0</v>
  </rv>
  <rv s="0">
    <fb>45860</fb>
    <v>1</v>
  </rv>
  <rv s="0">
    <fb>372.87</fb>
    <v>0</v>
  </rv>
  <rv s="0">
    <fb>45861</fb>
    <v>1</v>
  </rv>
  <rv s="0">
    <fb>372.46</fb>
    <v>0</v>
  </rv>
  <rv s="0">
    <fb>45862</fb>
    <v>1</v>
  </rv>
  <rv s="0">
    <fb>371.69</fb>
    <v>0</v>
  </rv>
  <rv s="0">
    <fb>45863</fb>
    <v>1</v>
  </rv>
  <rv s="0">
    <fb>370.74</fb>
    <v>0</v>
  </rv>
  <rv s="0">
    <fb>45866</fb>
    <v>1</v>
  </rv>
  <rv s="0">
    <fb>369.47</fb>
    <v>0</v>
  </rv>
  <rv s="0">
    <fb>45867</fb>
    <v>1</v>
  </rv>
  <rv s="0">
    <fb>370.7</fb>
    <v>0</v>
  </rv>
  <rv s="0">
    <fb>45868</fb>
    <v>1</v>
  </rv>
  <rv s="0">
    <fb>364</fb>
    <v>0</v>
  </rv>
  <rv s="0">
    <fb>45869</fb>
    <v>1</v>
  </rv>
  <rv s="0">
    <fb>357.69</fb>
    <v>0</v>
  </rv>
  <rv s="0">
    <fb>45870</fb>
    <v>1</v>
  </rv>
  <rv s="0">
    <fb>347.8</fb>
    <v>0</v>
  </rv>
  <rv s="0">
    <fb>45873</fb>
    <v>1</v>
  </rv>
  <rv s="0">
    <fb>338.85</fb>
    <v>0</v>
  </rv>
  <rv s="0">
    <fb>45874</fb>
    <v>1</v>
  </rv>
  <rv s="0">
    <fb>338.74</fb>
    <v>0</v>
  </rv>
  <rv s="0">
    <fb>45875</fb>
    <v>1</v>
  </rv>
  <rv s="0">
    <fb>345.62</fb>
    <v>0</v>
  </rv>
  <rv s="0">
    <fb>45876</fb>
    <v>1</v>
  </rv>
  <rv s="0">
    <fb>338.27</fb>
    <v>0</v>
  </rv>
  <rv s="0">
    <fb>45877</fb>
    <v>1</v>
  </rv>
  <rv s="0">
    <fb>341.05</fb>
    <v>0</v>
  </rv>
  <rv s="0">
    <fb>45880</fb>
    <v>1</v>
  </rv>
  <rv s="0">
    <fb>333.65</fb>
    <v>0</v>
  </rv>
  <rv s="0">
    <fb>45881</fb>
    <v>1</v>
  </rv>
  <rv s="0">
    <fb>338.43</fb>
    <v>0</v>
  </rv>
  <rv s="0">
    <fb>45882</fb>
    <v>1</v>
  </rv>
  <rv s="0">
    <fb>351.07</fb>
    <v>0</v>
  </rv>
  <rv s="0">
    <fb>45883</fb>
    <v>1</v>
  </rv>
  <rv s="0">
    <fb>348.58</fb>
    <v>0</v>
  </rv>
  <rv s="0">
    <fb>45884</fb>
    <v>1</v>
  </rv>
  <rv s="0">
    <fb>354.85</fb>
    <v>0</v>
  </rv>
  <rv s="0">
    <fb>45887</fb>
    <v>1</v>
  </rv>
  <rv s="0">
    <fb>357.24</fb>
    <v>0</v>
  </rv>
  <rv s="0">
    <fb>45888</fb>
    <v>1</v>
  </rv>
  <rv s="0">
    <fb>361.03</fb>
    <v>0</v>
  </rv>
  <rv s="0">
    <fb>45889</fb>
    <v>1</v>
  </rv>
  <rv s="0">
    <fb>353.43</fb>
    <v>0</v>
  </rv>
  <rv s="0">
    <fb>45890</fb>
    <v>1</v>
  </rv>
  <rv s="0">
    <fb>45891</fb>
    <v>1</v>
  </rv>
  <rv s="0">
    <fb>362.09</fb>
    <v>0</v>
  </rv>
  <rv s="0">
    <fb>45894</fb>
    <v>1</v>
  </rv>
  <rv s="0">
    <fb>363.21</fb>
    <v>0</v>
  </rv>
  <rv s="0">
    <fb>45895</fb>
    <v>1</v>
  </rv>
  <rv s="0">
    <fb>354.91</fb>
    <v>0</v>
  </rv>
  <rv s="0">
    <fb>45896</fb>
    <v>1</v>
  </rv>
  <rv s="0">
    <fb>356.35</fb>
    <v>0</v>
  </rv>
  <rv s="0">
    <fb>45897</fb>
    <v>1</v>
  </rv>
  <rv s="0">
    <fb>353.96</fb>
    <v>0</v>
  </rv>
  <rv s="0">
    <fb>45898</fb>
    <v>1</v>
  </rv>
  <rv s="0">
    <fb>356.7</fb>
    <v>0</v>
  </rv>
  <rv s="0">
    <fb>45902</fb>
    <v>1</v>
  </rv>
  <rv s="0">
    <fb>345.63</fb>
    <v>0</v>
  </rv>
  <rv s="0">
    <fb>45903</fb>
    <v>1</v>
  </rv>
  <rv s="0">
    <fb>348.5</fb>
    <v>0</v>
  </rv>
  <rv s="0">
    <fb>45904</fb>
    <v>1</v>
  </rv>
  <rv s="0">
    <fb>344.31</fb>
    <v>0</v>
  </rv>
  <rv s="0">
    <fb>45905</fb>
    <v>1</v>
  </rv>
  <rv s="0">
    <fb>348.97</fb>
    <v>0</v>
  </rv>
  <rv s="0">
    <fb>45908</fb>
    <v>1</v>
  </rv>
  <rv s="0">
    <fb>358.66</fb>
    <v>0</v>
  </rv>
  <rv s="0">
    <fb>45909</fb>
    <v>1</v>
  </rv>
  <rv s="0">
    <fb>354.06</fb>
    <v>0</v>
  </rv>
  <rv s="0">
    <fb>45910</fb>
    <v>1</v>
  </rv>
  <rv s="0">
    <fb>350.16</fb>
    <v>0</v>
  </rv>
  <rv s="0">
    <fb>45911</fb>
    <v>1</v>
  </rv>
  <rv s="0">
    <fb>350.55</fb>
    <v>0</v>
  </rv>
  <rv s="0">
    <fb>45912</fb>
    <v>1</v>
  </rv>
  <rv s="0">
    <fb>349.36</fb>
    <v>0</v>
  </rv>
  <rv s="0">
    <fb>45915</fb>
    <v>1</v>
  </rv>
  <rv s="0">
    <fb>347.1</fb>
    <v>0</v>
  </rv>
  <rv s="0">
    <fb>45916</fb>
    <v>1</v>
  </rv>
  <rv s="0">
    <fb>352.73</fb>
    <v>0</v>
  </rv>
  <rv s="0">
    <fb>45917</fb>
    <v>1</v>
  </rv>
  <rv s="0">
    <fb>362.07</fb>
    <v>0</v>
  </rv>
  <rv s="0">
    <fb>45918</fb>
    <v>1</v>
  </rv>
  <rv s="0">
    <fb>367.46</fb>
    <v>0</v>
  </rv>
  <rv s="0">
    <fb>45919</fb>
    <v>1</v>
  </rv>
  <rv s="0">
    <fb>365.9</fb>
    <v>0</v>
  </rv>
  <rv s="0">
    <fb>45922</fb>
    <v>1</v>
  </rv>
  <rv s="0">
    <fb>364.08</fb>
    <v>0</v>
  </rv>
  <rv s="0">
    <fb>45923</fb>
    <v>1</v>
  </rv>
  <rv s="0">
    <fb>361.78</fb>
    <v>0</v>
  </rv>
  <rv s="0">
    <fb>45924</fb>
    <v>1</v>
  </rv>
  <rv s="0">
    <fb>353.27</fb>
    <v>0</v>
  </rv>
  <rv s="0">
    <fb>45925</fb>
    <v>1</v>
  </rv>
  <rv s="0">
    <fb>354.16</fb>
    <v>0</v>
  </rv>
  <rv s="0">
    <fb>45926</fb>
    <v>1</v>
  </rv>
  <rv s="0">
    <fb>360.37</fb>
    <v>0</v>
  </rv>
  <rv s="0">
    <fb>45929</fb>
    <v>1</v>
  </rv>
  <rv s="0">
    <fb>359.42</fb>
    <v>0</v>
  </rv>
  <rv s="0">
    <fb>45930</fb>
    <v>1</v>
  </rv>
  <rv s="0">
    <fb>352.75</fb>
    <v>0</v>
  </rv>
  <rv s="0">
    <fb>45931</fb>
    <v>1</v>
  </rv>
  <rv s="0">
    <fb>343.72</fb>
    <v>0</v>
  </rv>
  <rv s="0">
    <fb>45932</fb>
    <v>1</v>
  </rv>
  <rv s="0">
    <fb>351.48</fb>
    <v>0</v>
  </rv>
  <rv s="0">
    <fb>45933</fb>
    <v>1</v>
  </rv>
  <rv s="0">
    <fb>346.74</fb>
    <v>0</v>
  </rv>
  <rv s="0">
    <fb>45936</fb>
    <v>1</v>
  </rv>
  <rv s="0">
    <fb>350.14</fb>
    <v>0</v>
  </rv>
  <rv s="0">
    <fb>45937</fb>
    <v>1</v>
  </rv>
  <rv s="0">
    <fb>348.31</fb>
    <v>0</v>
  </rv>
  <rv s="0">
    <fb>45938</fb>
    <v>1</v>
  </rv>
  <rv s="0">
    <fb>348.77</fb>
    <v>0</v>
  </rv>
  <rv s="0">
    <fb>45939</fb>
    <v>1</v>
  </rv>
  <rv s="0">
    <fb>347.47</fb>
    <v>0</v>
  </rv>
  <rv s="0">
    <fb>45940</fb>
    <v>1</v>
  </rv>
  <rv s="0">
    <fb>337.51</fb>
    <v>0</v>
  </rv>
  <rv s="0">
    <fb>45943</fb>
    <v>1</v>
  </rv>
  <rv s="0">
    <fb>339.32</fb>
    <v>0</v>
  </rv>
  <rv s="0">
    <fb>45944</fb>
    <v>1</v>
  </rv>
  <rv s="0">
    <fb>335.94</fb>
    <v>0</v>
  </rv>
  <rv s="0">
    <fb>45945</fb>
    <v>1</v>
  </rv>
  <rv s="0">
    <fb>330.63</fb>
    <v>0</v>
  </rv>
  <rv s="0">
    <fb>45946</fb>
    <v>1</v>
  </rv>
  <rv s="0">
    <fb>329.23</fb>
    <v>0</v>
  </rv>
  <rv s="0">
    <fb>45947</fb>
    <v>1</v>
  </rv>
  <rv s="0">
    <fb>333.26</fb>
    <v>0</v>
  </rv>
  <rv s="0">
    <fb>45950</fb>
    <v>1</v>
  </rv>
  <rv s="0">
    <fb>343.4</fb>
    <v>0</v>
  </rv>
  <rv s="0">
    <fb>45951</fb>
    <v>1</v>
  </rv>
  <rv s="0">
    <fb>357.55</fb>
    <v>0</v>
  </rv>
  <rv s="0">
    <fb>45952</fb>
    <v>1</v>
  </rv>
  <rv s="0">
    <fb>354.09</fb>
    <v>0</v>
  </rv>
  <rv s="0">
    <fb>45953</fb>
    <v>1</v>
  </rv>
  <rv s="0">
    <fb>354.12</fb>
    <v>0</v>
  </rv>
  <rv s="0">
    <fb>45954</fb>
    <v>1</v>
  </rv>
  <rv s="0">
    <fb>353.52</fb>
    <v>0</v>
  </rv>
  <rv s="0">
    <fb>45957</fb>
    <v>1</v>
  </rv>
  <rv s="0">
    <fb>357.8</fb>
    <v>0</v>
  </rv>
  <rv s="0">
    <fb>45958</fb>
    <v>1</v>
  </rv>
  <rv s="0">
    <fb>359.91</fb>
    <v>0</v>
  </rv>
  <rv s="0">
    <fb>45959</fb>
    <v>1</v>
  </rv>
  <rv s="0">
    <fb>337.86</fb>
    <v>0</v>
  </rv>
  <rv s="0">
    <fb>45960</fb>
    <v>1</v>
  </rv>
  <rv s="0">
    <fb>339.24</fb>
    <v>0</v>
  </rv>
  <rv s="0">
    <fb>45961</fb>
    <v>1</v>
  </rv>
  <rv s="0">
    <fb>340.31</fb>
    <v>0</v>
  </rv>
  <rv s="0">
    <fb>45964</fb>
    <v>1</v>
  </rv>
  <rv s="0">
    <fb>337.47</fb>
    <v>0</v>
  </rv>
  <rv s="0">
    <fb>45965</fb>
    <v>1</v>
  </rv>
  <rv s="0">
    <fb>335.35</fb>
    <v>0</v>
  </rv>
  <rv s="0">
    <fb>45966</fb>
    <v>1</v>
  </rv>
  <rv s="0">
    <fb>335.53</fb>
    <v>0</v>
  </rv>
  <rv s="0">
    <fb>45967</fb>
    <v>1</v>
  </rv>
  <rv s="0">
    <fb>327.35000000000002</fb>
    <v>0</v>
  </rv>
  <rv s="0">
    <fb>45968</fb>
    <v>1</v>
  </rv>
  <rv s="0">
    <fb>326.95</fb>
    <v>0</v>
  </rv>
  <rv s="0">
    <fb>45971</fb>
    <v>1</v>
  </rv>
  <rv s="0">
    <fb>328.85</fb>
    <v>0</v>
  </rv>
  <rv s="0">
    <fb>45972</fb>
    <v>1</v>
  </rv>
  <rv s="0">
    <fb>333.22</fb>
    <v>0</v>
  </rv>
  <rv s="0">
    <fb>45973</fb>
    <v>1</v>
  </rv>
  <rv s="0">
    <fb>337.05</fb>
    <v>0</v>
  </rv>
  <rv s="0">
    <fb>45974</fb>
    <v>1</v>
  </rv>
  <rv s="0">
    <fb>333.6</fb>
    <v>0</v>
  </rv>
  <rv s="0">
    <fb>45975</fb>
    <v>1</v>
  </rv>
  <rv s="0">
    <fb>331.11</fb>
    <v>0</v>
  </rv>
  <rv s="0">
    <fb>45978</fb>
    <v>1</v>
  </rv>
  <rv s="0">
    <fb>325.07</fb>
    <v>0</v>
  </rv>
  <rv s="0">
    <fb>45979</fb>
    <v>1</v>
  </rv>
  <rv s="0">
    <fb>324.47000000000003</fb>
    <v>0</v>
  </rv>
  <rv s="0">
    <fb>45980</fb>
    <v>1</v>
  </rv>
  <rv s="0">
    <fb>318.11</fb>
    <v>0</v>
  </rv>
  <rv s="0">
    <fb>45981</fb>
    <v>1</v>
  </rv>
  <rv s="0">
    <fb>312.39999999999998</fb>
    <v>0</v>
  </rv>
  <rv s="0">
    <fb>45982</fb>
    <v>1</v>
  </rv>
  <rv s="0">
    <fb>324.19</fb>
    <v>0</v>
  </rv>
  <rv s="0">
    <fb>45985</fb>
    <v>1</v>
  </rv>
  <rv s="0">
    <fb>318.73</fb>
    <v>0</v>
  </rv>
  <rv s="0">
    <fb>45986</fb>
    <v>1</v>
  </rv>
  <rv s="0">
    <fb>319.55</fb>
    <v>0</v>
  </rv>
  <rv s="0">
    <fb>45987</fb>
    <v>1</v>
  </rv>
  <rv s="0">
    <fb>317.52</fb>
    <v>0</v>
  </rv>
  <rv s="0">
    <fb>45989</fb>
    <v>1</v>
  </rv>
  <rv s="0">
    <fb>320.13</fb>
    <v>0</v>
  </rv>
  <rv s="0">
    <fb>45992</fb>
    <v>1</v>
  </rv>
  <rv s="0">
    <fb>322.85000000000002</fb>
    <v>0</v>
  </rv>
  <rv s="0">
    <fb>45993</fb>
    <v>1</v>
  </rv>
  <rv s="0">
    <fb>322.81</fb>
    <v>0</v>
  </rv>
  <rv s="0">
    <fb>45994</fb>
    <v>1</v>
  </rv>
  <rv s="0">
    <fb>326.77999999999997</fb>
    <v>0</v>
  </rv>
  <rv s="0">
    <fb>45995</fb>
    <v>1</v>
  </rv>
  <rv s="0">
    <fb>328.73</fb>
    <v>0</v>
  </rv>
  <rv s="0">
    <fb>45996</fb>
    <v>1</v>
  </rv>
  <rv s="0">
    <fb>346.26</fb>
    <v>0</v>
  </rv>
  <rv s="0">
    <fb>45999</fb>
    <v>1</v>
  </rv>
  <rv s="0">
    <fb>339.12</fb>
    <v>0</v>
  </rv>
  <rv s="0">
    <fb>46000</fb>
    <v>1</v>
  </rv>
  <rv s="0">
    <fb>344.32</fb>
    <v>0</v>
  </rv>
  <rv s="0">
    <fb>46001</fb>
    <v>1</v>
  </rv>
  <rv s="0">
    <fb>343.13</fb>
    <v>0</v>
  </rv>
  <rv s="0">
    <fb>46002</fb>
    <v>1</v>
  </rv>
  <rv s="0">
    <fb>350.43</fb>
    <v>0</v>
  </rv>
  <rv s="0">
    <fb>46003</fb>
    <v>1</v>
  </rv>
  <rv s="0">
    <fb>356.43</fb>
    <v>0</v>
  </rv>
  <rv s="0">
    <fb>46006</fb>
    <v>1</v>
  </rv>
  <rv s="0">
    <fb>351.15</fb>
    <v>0</v>
  </rv>
  <rv s="0">
    <fb>46007</fb>
    <v>1</v>
  </rv>
  <rv s="0">
    <fb>347.89</fb>
    <v>0</v>
  </rv>
  <rv s="0">
    <fb>46008</fb>
    <v>1</v>
  </rv>
  <rv s="0">
    <fb>354.66</fb>
    <v>0</v>
  </rv>
  <rv s="0">
    <fb>46009</fb>
    <v>1</v>
  </rv>
  <rv s="0">
    <fb>355.81</fb>
    <v>0</v>
  </rv>
  <rv s="0">
    <fb>46010</fb>
    <v>1</v>
  </rv>
  <rv s="0">
    <fb>355.86</fb>
    <v>0</v>
  </rv>
  <rv s="0">
    <fb>46013</fb>
    <v>1</v>
  </rv>
  <rv s="0">
    <fb>357.53</fb>
    <v>0</v>
  </rv>
  <rv s="0">
    <fb>46014</fb>
    <v>1</v>
  </rv>
  <rv s="0">
    <fb>352.42</fb>
    <v>0</v>
  </rv>
  <rv s="0">
    <fb>46015</fb>
    <v>1</v>
  </rv>
  <rv s="0">
    <fb>352.98</fb>
    <v>0</v>
  </rv>
  <rv s="0">
    <fb>46017</fb>
    <v>1</v>
  </rv>
  <rv s="0">
    <fb>353.8</fb>
    <v>0</v>
  </rv>
  <rv s="0">
    <fb>46020</fb>
    <v>1</v>
  </rv>
  <rv s="0">
    <fb>353.16</fb>
    <v>0</v>
  </rv>
  <rv s="0">
    <fb>46021</fb>
    <v>1</v>
  </rv>
  <rv s="0">
    <fb>352.51</fb>
    <v>0</v>
  </rv>
  <rv s="0">
    <fb>46022</fb>
    <v>1</v>
  </rv>
  <rv s="0">
    <fb>349.99</fb>
    <v>0</v>
  </rv>
  <rv s="0">
    <fb>46024</fb>
    <v>1</v>
  </rv>
  <rv s="0">
    <fb>333.3</fb>
    <v>0</v>
  </rv>
  <rv s="0">
    <fb>46027</fb>
    <v>1</v>
  </rv>
  <rv s="0">
    <fb>331.56</fb>
    <v>0</v>
  </rv>
  <rv s="0">
    <fb>46028</fb>
    <v>1</v>
  </rv>
  <rv s="0">
    <fb>335.99</fb>
    <v>0</v>
  </rv>
  <rv s="0">
    <fb>46029</fb>
    <v>1</v>
  </rv>
  <rv s="0">
    <fb>338.1</fb>
    <v>0</v>
  </rv>
  <rv s="0">
    <fb>46030</fb>
    <v>1</v>
  </rv>
  <rv s="0">
    <fb>339.04</fb>
    <v>0</v>
  </rv>
  <rv s="0">
    <fb>46031</fb>
    <v>1</v>
  </rv>
  <rv s="0">
    <fb>333.95</fb>
    <v>0</v>
  </rv>
  <rv s="0">
    <fb>46034</fb>
    <v>1</v>
  </rv>
  <rv s="0">
    <fb>327.64999999999998</fb>
    <v>0</v>
  </rv>
  <rv s="0">
    <fb>46035</fb>
    <v>1</v>
  </rv>
  <rv s="0">
    <fb>309.93</fb>
    <v>0</v>
  </rv>
  <rv s="0">
    <fb>46036</fb>
    <v>1</v>
  </rv>
  <rv s="0">
    <fb>304.44</fb>
    <v>0</v>
  </rv>
  <rv s="0">
    <fb>46037</fb>
    <v>1</v>
  </rv>
  <rv s="0">
    <fb>304.08999999999997</fb>
    <v>0</v>
  </rv>
  <rv s="0">
    <fb>46038</fb>
    <v>1</v>
  </rv>
  <rv s="0">
    <fb>296.12</fb>
    <v>0</v>
  </rv>
  <rv s="0">
    <fb>46042</fb>
    <v>1</v>
  </rv>
  <rv s="0">
    <fb>290.37</fb>
    <v>0</v>
  </rv>
  <rv s="0">
    <fb>46043</fb>
    <v>1</v>
  </rv>
  <rv s="0">
    <fb>294.23</fb>
    <v>0</v>
  </rv>
  <rv s="0">
    <fb>46044</fb>
    <v>1</v>
  </rv>
  <rv s="0">
    <fb>299.73</fb>
    <v>0</v>
  </rv>
  <rv s="0">
    <fb>46045</fb>
    <v>1</v>
  </rv>
  <rv s="0">
    <fb>301.07</fb>
    <v>0</v>
  </rv>
  <rv s="0">
    <fb>46048</fb>
    <v>1</v>
  </rv>
  <rv s="0">
    <fb>304.72000000000003</fb>
    <v>0</v>
  </rv>
  <rv s="0">
    <fb>46049</fb>
    <v>1</v>
  </rv>
  <rv s="0">
    <fb>297.42</fb>
    <v>0</v>
  </rv>
  <rv s="0">
    <fb>46050</fb>
    <v>1</v>
  </rv>
  <rv s="0">
    <fb>299.58</fb>
    <v>0</v>
  </rv>
  <rv s="0">
    <fb>46051</fb>
    <v>1</v>
  </rv>
  <rv s="0">
    <fb>291.64999999999998</fb>
    <v>0</v>
  </rv>
  <rv s="0">
    <fb>46052</fb>
    <v>1</v>
  </rv>
  <rv s="0">
    <fb>293.25</fb>
    <v>0</v>
  </rv>
  <rv s="0">
    <fb>46055</fb>
    <v>1</v>
  </rv>
  <rv s="0">
    <fb>293.38</fb>
    <v>0</v>
  </rv>
  <rv s="0">
    <fb>46056</fb>
    <v>1</v>
  </rv>
  <rv s="0">
    <fb>271.93</fb>
    <v>0</v>
  </rv>
  <rv s="0">
    <fb>46057</fb>
    <v>1</v>
  </rv>
  <rv s="0">
    <fb>279.70999999999998</fb>
    <v>0</v>
  </rv>
  <rv s="0">
    <fb>46058</fb>
    <v>1</v>
  </rv>
  <rv s="0">
    <fb>269.39</fb>
    <v>0</v>
  </rv>
  <rv s="0">
    <fb>46059</fb>
    <v>1</v>
  </rv>
  <rv s="0">
    <fb>268.38</fb>
    <v>0</v>
  </rv>
  <rv s="0">
    <fb>46062</fb>
    <v>1</v>
  </rv>
  <rv s="0">
    <fb>266.89999999999998</fb>
    <v>0</v>
  </rv>
  <rv s="1">
    <v>2</v>
    <v>ADBE</v>
    <v>Daily</v>
    <v>45658</v>
    <v>46062</v>
    <v>0</v>
    <v>1</v>
    <v>639061920000000000,639062918443973664,0</v>
    <v>0</v>
    <v>a1mv7w</v>
    <v>XNAS:ADBE</v>
    <v>1</v>
  </rv>
  <rv s="2">
    <v>3</v>
    <v>ADBE</v>
    <v>Daily</v>
    <v>46076</v>
    <v>46076</v>
    <v>0</v>
    <v>1</v>
    <v>639074016000000000,639075655890548943,0</v>
    <v>2</v>
    <v>a1mv7w</v>
    <v>XNAS:ADBE</v>
    <v>3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Open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1">
      <v>2</v>
      <v>1</v>
    </spb>
    <spb s="2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Date" t="i"/>
    <k n="Close" t="i"/>
  </s>
  <s>
    <k n="Date" t="i"/>
    <k n="Open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2185-C4DD-4FA1-A204-93BF102BE2ED}">
  <sheetPr>
    <outlinePr summaryBelow="0" summaryRight="0"/>
  </sheetPr>
  <dimension ref="A1:AA989"/>
  <sheetViews>
    <sheetView showGridLines="0" workbookViewId="0">
      <selection activeCell="H40" sqref="H40"/>
    </sheetView>
  </sheetViews>
  <sheetFormatPr defaultColWidth="10.875" defaultRowHeight="15" customHeight="1" x14ac:dyDescent="0.25"/>
  <cols>
    <col min="1" max="1" width="3.125" style="215" customWidth="1"/>
    <col min="2" max="2" width="2.5" style="215" customWidth="1"/>
    <col min="3" max="3" width="25.75" style="215" bestFit="1" customWidth="1"/>
    <col min="4" max="4" width="16" style="215" customWidth="1"/>
    <col min="5" max="16384" width="10.875" style="215"/>
  </cols>
  <sheetData>
    <row r="1" spans="1:27" s="1" customFormat="1" ht="15.75" x14ac:dyDescent="0.25">
      <c r="A1" s="4"/>
    </row>
    <row r="2" spans="1:27" s="1" customFormat="1" ht="15.75" x14ac:dyDescent="0.25">
      <c r="A2" s="4"/>
    </row>
    <row r="3" spans="1:27" s="1" customFormat="1" ht="26.25" x14ac:dyDescent="0.4">
      <c r="A3" s="4"/>
      <c r="C3" s="3" t="s">
        <v>278</v>
      </c>
    </row>
    <row r="4" spans="1:27" x14ac:dyDescent="0.25"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</row>
    <row r="5" spans="1:27" ht="16.5" customHeight="1" x14ac:dyDescent="0.25">
      <c r="C5" s="276" t="s">
        <v>293</v>
      </c>
      <c r="D5" s="277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</row>
    <row r="6" spans="1:27" x14ac:dyDescent="0.25">
      <c r="C6" s="278" t="s">
        <v>294</v>
      </c>
      <c r="D6" s="281" vm="1">
        <f ca="1">'DCF model'!E11</f>
        <v>254.14</v>
      </c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</row>
    <row r="7" spans="1:27" x14ac:dyDescent="0.25">
      <c r="C7" s="279" t="s">
        <v>265</v>
      </c>
      <c r="D7" s="293">
        <f>'IS - ADOBE'!F25</f>
        <v>426.2</v>
      </c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</row>
    <row r="8" spans="1:27" x14ac:dyDescent="0.25">
      <c r="C8" s="280" t="s">
        <v>107</v>
      </c>
      <c r="D8" s="281">
        <f ca="1">D6*D7</f>
        <v>108314.46799999999</v>
      </c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</row>
    <row r="9" spans="1:27" x14ac:dyDescent="0.25">
      <c r="C9" s="282" t="s">
        <v>127</v>
      </c>
      <c r="D9" s="281">
        <f>'DCF model'!O104</f>
        <v>5431</v>
      </c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</row>
    <row r="10" spans="1:27" x14ac:dyDescent="0.25">
      <c r="C10" s="279" t="s">
        <v>128</v>
      </c>
      <c r="D10" s="283">
        <f>-'DCF model'!O105</f>
        <v>6210</v>
      </c>
      <c r="E10" s="259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</row>
    <row r="11" spans="1:27" x14ac:dyDescent="0.25">
      <c r="C11" s="280" t="s">
        <v>266</v>
      </c>
      <c r="D11" s="281">
        <f ca="1">D8-D9-D10</f>
        <v>96673.467999999993</v>
      </c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</row>
    <row r="12" spans="1:27" x14ac:dyDescent="0.25">
      <c r="C12" s="284"/>
      <c r="D12" s="285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</row>
    <row r="13" spans="1:27" x14ac:dyDescent="0.25">
      <c r="C13" s="280" t="s">
        <v>282</v>
      </c>
      <c r="D13" s="28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</row>
    <row r="14" spans="1:27" x14ac:dyDescent="0.25">
      <c r="C14" s="278" t="s">
        <v>285</v>
      </c>
      <c r="D14" s="281">
        <f ca="1">SUM('DCF model'!M98:O98)</f>
        <v>23242.217006252402</v>
      </c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</row>
    <row r="15" spans="1:27" x14ac:dyDescent="0.25">
      <c r="C15" s="279" t="s">
        <v>283</v>
      </c>
      <c r="D15" s="281">
        <f ca="1">'DCF model'!O101</f>
        <v>103617.30396448384</v>
      </c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</row>
    <row r="16" spans="1:27" x14ac:dyDescent="0.25">
      <c r="C16" s="296" t="s">
        <v>284</v>
      </c>
      <c r="D16" s="299">
        <f ca="1">D14+D15</f>
        <v>126859.52097073625</v>
      </c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</row>
    <row r="17" spans="2:27" x14ac:dyDescent="0.25">
      <c r="C17" s="287" t="s">
        <v>286</v>
      </c>
      <c r="D17" s="281">
        <f>'DCF model'!O104</f>
        <v>5431</v>
      </c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</row>
    <row r="18" spans="2:27" x14ac:dyDescent="0.25">
      <c r="C18" s="287" t="s">
        <v>287</v>
      </c>
      <c r="D18" s="281">
        <f>-'DCF model'!O105</f>
        <v>6210</v>
      </c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</row>
    <row r="19" spans="2:27" x14ac:dyDescent="0.25">
      <c r="B19" s="222"/>
      <c r="C19" s="295" t="s">
        <v>288</v>
      </c>
      <c r="D19" s="298">
        <f ca="1">D16+D17-D18</f>
        <v>126080.52097073625</v>
      </c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</row>
    <row r="20" spans="2:27" x14ac:dyDescent="0.25">
      <c r="B20" s="222"/>
      <c r="C20" s="291" t="s">
        <v>265</v>
      </c>
      <c r="D20" s="292">
        <f ca="1">'DCF model'!O76</f>
        <v>391.58082205433504</v>
      </c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</row>
    <row r="21" spans="2:27" x14ac:dyDescent="0.25">
      <c r="B21" s="216"/>
      <c r="C21" s="294" t="s">
        <v>268</v>
      </c>
      <c r="D21" s="297">
        <f ca="1">D19/D20</f>
        <v>321.97828358724257</v>
      </c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</row>
    <row r="22" spans="2:27" x14ac:dyDescent="0.25">
      <c r="B22" s="216"/>
      <c r="C22" s="288"/>
      <c r="D22" s="289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</row>
    <row r="23" spans="2:27" x14ac:dyDescent="0.25">
      <c r="B23" s="216"/>
      <c r="C23" s="300" t="s">
        <v>289</v>
      </c>
      <c r="D23" s="301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</row>
    <row r="24" spans="2:27" x14ac:dyDescent="0.25">
      <c r="B24" s="216"/>
      <c r="C24" s="288" t="s">
        <v>290</v>
      </c>
      <c r="D24" s="318">
        <f ca="1">D21/D6-1</f>
        <v>0.26693272836720938</v>
      </c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</row>
    <row r="25" spans="2:27" x14ac:dyDescent="0.25">
      <c r="B25" s="216"/>
      <c r="C25" s="290" t="s">
        <v>291</v>
      </c>
      <c r="D25" s="319">
        <f ca="1">(D21/D6)^(1/3)-1</f>
        <v>8.2059606657677975E-2</v>
      </c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</row>
    <row r="26" spans="2:27" x14ac:dyDescent="0.25"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</row>
    <row r="27" spans="2:27" x14ac:dyDescent="0.25"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</row>
    <row r="28" spans="2:27" x14ac:dyDescent="0.25"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</row>
    <row r="29" spans="2:27" x14ac:dyDescent="0.25"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</row>
    <row r="30" spans="2:27" x14ac:dyDescent="0.25"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</row>
    <row r="31" spans="2:27" x14ac:dyDescent="0.25"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</row>
    <row r="32" spans="2:27" x14ac:dyDescent="0.25"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</row>
    <row r="33" spans="2:27" x14ac:dyDescent="0.25"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</row>
    <row r="34" spans="2:27" x14ac:dyDescent="0.25"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</row>
    <row r="35" spans="2:27" x14ac:dyDescent="0.25"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</row>
    <row r="36" spans="2:27" x14ac:dyDescent="0.25"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</row>
    <row r="37" spans="2:27" x14ac:dyDescent="0.25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</row>
    <row r="38" spans="2:27" x14ac:dyDescent="0.25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</row>
    <row r="39" spans="2:27" x14ac:dyDescent="0.25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</row>
    <row r="40" spans="2:27" x14ac:dyDescent="0.25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</row>
    <row r="41" spans="2:27" x14ac:dyDescent="0.25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</row>
    <row r="42" spans="2:27" x14ac:dyDescent="0.25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</row>
    <row r="43" spans="2:27" x14ac:dyDescent="0.25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</row>
    <row r="44" spans="2:27" x14ac:dyDescent="0.25"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</row>
    <row r="45" spans="2:27" x14ac:dyDescent="0.25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</row>
    <row r="46" spans="2:27" x14ac:dyDescent="0.25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</row>
    <row r="47" spans="2:27" x14ac:dyDescent="0.25"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</row>
    <row r="48" spans="2:27" x14ac:dyDescent="0.25"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</row>
    <row r="49" spans="2:27" x14ac:dyDescent="0.25"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</row>
    <row r="50" spans="2:27" x14ac:dyDescent="0.25"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</row>
    <row r="51" spans="2:27" x14ac:dyDescent="0.25"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</row>
    <row r="52" spans="2:27" x14ac:dyDescent="0.25"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</row>
    <row r="53" spans="2:27" x14ac:dyDescent="0.25"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</row>
    <row r="54" spans="2:27" x14ac:dyDescent="0.25"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</row>
    <row r="55" spans="2:27" x14ac:dyDescent="0.25"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</row>
    <row r="56" spans="2:27" x14ac:dyDescent="0.25"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</row>
    <row r="57" spans="2:27" x14ac:dyDescent="0.25"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</row>
    <row r="58" spans="2:27" x14ac:dyDescent="0.25"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</row>
    <row r="59" spans="2:27" x14ac:dyDescent="0.25"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</row>
    <row r="60" spans="2:27" x14ac:dyDescent="0.25"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</row>
    <row r="61" spans="2:27" x14ac:dyDescent="0.25"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</row>
    <row r="62" spans="2:27" x14ac:dyDescent="0.25"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</row>
    <row r="63" spans="2:27" x14ac:dyDescent="0.25"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</row>
    <row r="64" spans="2:27" x14ac:dyDescent="0.25"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</row>
    <row r="65" spans="2:27" x14ac:dyDescent="0.25"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</row>
    <row r="66" spans="2:27" x14ac:dyDescent="0.25"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</row>
    <row r="67" spans="2:27" x14ac:dyDescent="0.25"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</row>
    <row r="68" spans="2:27" x14ac:dyDescent="0.25"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</row>
    <row r="69" spans="2:27" x14ac:dyDescent="0.25"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</row>
    <row r="70" spans="2:27" x14ac:dyDescent="0.25"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</row>
    <row r="71" spans="2:27" x14ac:dyDescent="0.25"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</row>
    <row r="72" spans="2:27" x14ac:dyDescent="0.25"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</row>
    <row r="73" spans="2:27" x14ac:dyDescent="0.25"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</row>
    <row r="74" spans="2:27" x14ac:dyDescent="0.25"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</row>
    <row r="75" spans="2:27" x14ac:dyDescent="0.25"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</row>
    <row r="76" spans="2:27" x14ac:dyDescent="0.25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</row>
    <row r="77" spans="2:27" x14ac:dyDescent="0.25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</row>
    <row r="78" spans="2:27" x14ac:dyDescent="0.25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</row>
    <row r="79" spans="2:27" x14ac:dyDescent="0.25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</row>
    <row r="80" spans="2:27" x14ac:dyDescent="0.25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</row>
    <row r="81" spans="2:27" x14ac:dyDescent="0.25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</row>
    <row r="82" spans="2:27" x14ac:dyDescent="0.25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</row>
    <row r="83" spans="2:27" x14ac:dyDescent="0.25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</row>
    <row r="84" spans="2:27" x14ac:dyDescent="0.25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</row>
    <row r="85" spans="2:27" x14ac:dyDescent="0.25"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</row>
    <row r="86" spans="2:27" x14ac:dyDescent="0.25"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</row>
    <row r="87" spans="2:27" x14ac:dyDescent="0.25"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</row>
    <row r="88" spans="2:27" x14ac:dyDescent="0.25"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</row>
    <row r="89" spans="2:27" x14ac:dyDescent="0.25"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</row>
    <row r="90" spans="2:27" x14ac:dyDescent="0.25"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</row>
    <row r="91" spans="2:27" x14ac:dyDescent="0.25"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</row>
    <row r="92" spans="2:27" x14ac:dyDescent="0.25"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</row>
    <row r="93" spans="2:27" x14ac:dyDescent="0.25"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</row>
    <row r="94" spans="2:27" x14ac:dyDescent="0.25"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</row>
    <row r="95" spans="2:27" x14ac:dyDescent="0.25"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</row>
    <row r="96" spans="2:27" x14ac:dyDescent="0.25"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</row>
    <row r="97" spans="2:27" x14ac:dyDescent="0.25"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</row>
    <row r="98" spans="2:27" x14ac:dyDescent="0.25"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</row>
    <row r="99" spans="2:27" x14ac:dyDescent="0.25"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</row>
    <row r="100" spans="2:27" x14ac:dyDescent="0.25"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</row>
    <row r="101" spans="2:27" x14ac:dyDescent="0.25"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</row>
    <row r="102" spans="2:27" x14ac:dyDescent="0.25"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</row>
    <row r="103" spans="2:27" x14ac:dyDescent="0.25"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</row>
    <row r="104" spans="2:27" x14ac:dyDescent="0.25"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</row>
    <row r="105" spans="2:27" x14ac:dyDescent="0.25"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</row>
    <row r="106" spans="2:27" x14ac:dyDescent="0.25"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</row>
    <row r="107" spans="2:27" x14ac:dyDescent="0.25"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</row>
    <row r="108" spans="2:27" x14ac:dyDescent="0.25"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</row>
    <row r="109" spans="2:27" x14ac:dyDescent="0.25"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</row>
    <row r="110" spans="2:27" x14ac:dyDescent="0.25"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</row>
    <row r="111" spans="2:27" x14ac:dyDescent="0.25"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</row>
    <row r="112" spans="2:27" x14ac:dyDescent="0.25"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</row>
    <row r="113" spans="2:27" x14ac:dyDescent="0.25"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</row>
    <row r="114" spans="2:27" x14ac:dyDescent="0.25"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</row>
    <row r="115" spans="2:27" x14ac:dyDescent="0.25"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</row>
    <row r="116" spans="2:27" x14ac:dyDescent="0.25"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</row>
    <row r="117" spans="2:27" x14ac:dyDescent="0.25"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</row>
    <row r="118" spans="2:27" x14ac:dyDescent="0.25"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</row>
    <row r="119" spans="2:27" x14ac:dyDescent="0.25"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</row>
    <row r="120" spans="2:27" x14ac:dyDescent="0.25"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</row>
    <row r="121" spans="2:27" x14ac:dyDescent="0.25"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</row>
    <row r="122" spans="2:27" x14ac:dyDescent="0.25"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</row>
    <row r="123" spans="2:27" x14ac:dyDescent="0.25"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</row>
    <row r="124" spans="2:27" x14ac:dyDescent="0.25"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</row>
    <row r="125" spans="2:27" x14ac:dyDescent="0.25"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</row>
    <row r="126" spans="2:27" x14ac:dyDescent="0.25"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</row>
    <row r="127" spans="2:27" x14ac:dyDescent="0.25"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</row>
    <row r="128" spans="2:27" x14ac:dyDescent="0.25"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</row>
    <row r="129" spans="2:27" x14ac:dyDescent="0.25"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</row>
    <row r="130" spans="2:27" x14ac:dyDescent="0.25"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</row>
    <row r="131" spans="2:27" x14ac:dyDescent="0.25"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</row>
    <row r="132" spans="2:27" x14ac:dyDescent="0.25"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</row>
    <row r="133" spans="2:27" x14ac:dyDescent="0.25"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</row>
    <row r="134" spans="2:27" x14ac:dyDescent="0.25"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</row>
    <row r="135" spans="2:27" x14ac:dyDescent="0.25"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</row>
    <row r="136" spans="2:27" x14ac:dyDescent="0.25"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</row>
    <row r="137" spans="2:27" x14ac:dyDescent="0.25"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</row>
    <row r="138" spans="2:27" x14ac:dyDescent="0.25"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</row>
    <row r="139" spans="2:27" x14ac:dyDescent="0.25"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</row>
    <row r="140" spans="2:27" x14ac:dyDescent="0.25"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</row>
    <row r="141" spans="2:27" x14ac:dyDescent="0.25"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</row>
    <row r="142" spans="2:27" x14ac:dyDescent="0.25"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</row>
    <row r="143" spans="2:27" x14ac:dyDescent="0.25"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</row>
    <row r="144" spans="2:27" x14ac:dyDescent="0.25"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</row>
    <row r="145" spans="2:27" x14ac:dyDescent="0.25"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</row>
    <row r="146" spans="2:27" x14ac:dyDescent="0.25"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</row>
    <row r="147" spans="2:27" x14ac:dyDescent="0.25"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</row>
    <row r="148" spans="2:27" x14ac:dyDescent="0.25"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</row>
    <row r="149" spans="2:27" x14ac:dyDescent="0.25"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</row>
    <row r="150" spans="2:27" x14ac:dyDescent="0.25"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</row>
    <row r="151" spans="2:27" x14ac:dyDescent="0.25"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</row>
    <row r="152" spans="2:27" x14ac:dyDescent="0.25"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</row>
    <row r="153" spans="2:27" x14ac:dyDescent="0.25"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</row>
    <row r="154" spans="2:27" x14ac:dyDescent="0.25"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</row>
    <row r="155" spans="2:27" x14ac:dyDescent="0.25"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</row>
    <row r="156" spans="2:27" x14ac:dyDescent="0.25"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</row>
    <row r="157" spans="2:27" x14ac:dyDescent="0.25"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</row>
    <row r="158" spans="2:27" x14ac:dyDescent="0.25"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</row>
    <row r="159" spans="2:27" x14ac:dyDescent="0.25"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</row>
    <row r="160" spans="2:27" x14ac:dyDescent="0.25"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</row>
    <row r="161" spans="2:27" x14ac:dyDescent="0.25"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</row>
    <row r="162" spans="2:27" x14ac:dyDescent="0.25"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</row>
    <row r="163" spans="2:27" x14ac:dyDescent="0.25"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</row>
    <row r="164" spans="2:27" x14ac:dyDescent="0.25"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</row>
    <row r="165" spans="2:27" x14ac:dyDescent="0.25"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</row>
    <row r="166" spans="2:27" x14ac:dyDescent="0.25"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</row>
    <row r="167" spans="2:27" x14ac:dyDescent="0.25"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</row>
    <row r="168" spans="2:27" x14ac:dyDescent="0.25"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</row>
    <row r="169" spans="2:27" x14ac:dyDescent="0.25"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</row>
    <row r="170" spans="2:27" x14ac:dyDescent="0.25"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</row>
    <row r="171" spans="2:27" x14ac:dyDescent="0.25"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</row>
    <row r="172" spans="2:27" x14ac:dyDescent="0.25"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</row>
    <row r="173" spans="2:27" x14ac:dyDescent="0.25"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</row>
    <row r="174" spans="2:27" x14ac:dyDescent="0.25"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</row>
    <row r="175" spans="2:27" x14ac:dyDescent="0.25"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</row>
    <row r="176" spans="2:27" x14ac:dyDescent="0.25"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</row>
    <row r="177" spans="2:27" x14ac:dyDescent="0.25"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</row>
    <row r="178" spans="2:27" x14ac:dyDescent="0.25"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</row>
    <row r="179" spans="2:27" x14ac:dyDescent="0.25"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</row>
    <row r="180" spans="2:27" x14ac:dyDescent="0.25"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</row>
    <row r="181" spans="2:27" x14ac:dyDescent="0.25"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</row>
    <row r="182" spans="2:27" x14ac:dyDescent="0.25"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</row>
    <row r="183" spans="2:27" x14ac:dyDescent="0.25"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</row>
    <row r="184" spans="2:27" x14ac:dyDescent="0.25"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</row>
    <row r="185" spans="2:27" x14ac:dyDescent="0.25"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</row>
    <row r="186" spans="2:27" x14ac:dyDescent="0.25"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</row>
    <row r="187" spans="2:27" x14ac:dyDescent="0.25"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</row>
    <row r="188" spans="2:27" x14ac:dyDescent="0.25"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</row>
    <row r="189" spans="2:27" x14ac:dyDescent="0.25"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</row>
    <row r="190" spans="2:27" x14ac:dyDescent="0.25"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</row>
    <row r="191" spans="2:27" x14ac:dyDescent="0.25"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</row>
    <row r="192" spans="2:27" x14ac:dyDescent="0.25"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</row>
    <row r="193" spans="2:27" x14ac:dyDescent="0.25"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</row>
    <row r="194" spans="2:27" x14ac:dyDescent="0.25"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</row>
    <row r="195" spans="2:27" x14ac:dyDescent="0.25"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</row>
    <row r="196" spans="2:27" x14ac:dyDescent="0.25"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</row>
    <row r="197" spans="2:27" x14ac:dyDescent="0.25"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</row>
    <row r="198" spans="2:27" x14ac:dyDescent="0.25"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</row>
    <row r="199" spans="2:27" x14ac:dyDescent="0.25"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</row>
    <row r="200" spans="2:27" x14ac:dyDescent="0.25"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</row>
    <row r="201" spans="2:27" x14ac:dyDescent="0.25"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</row>
    <row r="202" spans="2:27" x14ac:dyDescent="0.25"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</row>
    <row r="203" spans="2:27" x14ac:dyDescent="0.25"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</row>
    <row r="204" spans="2:27" x14ac:dyDescent="0.25"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</row>
    <row r="205" spans="2:27" x14ac:dyDescent="0.25"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</row>
    <row r="206" spans="2:27" x14ac:dyDescent="0.25"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</row>
    <row r="207" spans="2:27" x14ac:dyDescent="0.25"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</row>
    <row r="208" spans="2:27" x14ac:dyDescent="0.25"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</row>
    <row r="209" spans="2:27" x14ac:dyDescent="0.25"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</row>
    <row r="210" spans="2:27" x14ac:dyDescent="0.25"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</row>
    <row r="211" spans="2:27" x14ac:dyDescent="0.25"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</row>
    <row r="212" spans="2:27" x14ac:dyDescent="0.25"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</row>
    <row r="213" spans="2:27" x14ac:dyDescent="0.25"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</row>
    <row r="214" spans="2:27" x14ac:dyDescent="0.25"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</row>
    <row r="215" spans="2:27" x14ac:dyDescent="0.25"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</row>
    <row r="216" spans="2:27" x14ac:dyDescent="0.25"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</row>
    <row r="217" spans="2:27" x14ac:dyDescent="0.25"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</row>
    <row r="218" spans="2:27" x14ac:dyDescent="0.25"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</row>
    <row r="219" spans="2:27" x14ac:dyDescent="0.25"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</row>
    <row r="220" spans="2:27" x14ac:dyDescent="0.25"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</row>
    <row r="221" spans="2:27" x14ac:dyDescent="0.25"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</row>
    <row r="222" spans="2:27" x14ac:dyDescent="0.25"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</row>
    <row r="223" spans="2:27" x14ac:dyDescent="0.25"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</row>
    <row r="224" spans="2:27" x14ac:dyDescent="0.25"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</row>
    <row r="225" spans="2:27" x14ac:dyDescent="0.25"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</row>
    <row r="226" spans="2:27" x14ac:dyDescent="0.25"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</row>
    <row r="227" spans="2:27" x14ac:dyDescent="0.25"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</row>
    <row r="228" spans="2:27" x14ac:dyDescent="0.25"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</row>
    <row r="229" spans="2:27" x14ac:dyDescent="0.25"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</row>
    <row r="230" spans="2:27" x14ac:dyDescent="0.25"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</row>
    <row r="231" spans="2:27" x14ac:dyDescent="0.25"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</row>
    <row r="232" spans="2:27" x14ac:dyDescent="0.25"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</row>
    <row r="233" spans="2:27" x14ac:dyDescent="0.25"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</row>
    <row r="234" spans="2:27" x14ac:dyDescent="0.25"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</row>
    <row r="235" spans="2:27" x14ac:dyDescent="0.25"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</row>
    <row r="236" spans="2:27" x14ac:dyDescent="0.25"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</row>
    <row r="237" spans="2:27" x14ac:dyDescent="0.25"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</row>
    <row r="238" spans="2:27" x14ac:dyDescent="0.25"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</row>
    <row r="239" spans="2:27" x14ac:dyDescent="0.25"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</row>
    <row r="240" spans="2:27" x14ac:dyDescent="0.25"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</row>
    <row r="241" spans="2:27" x14ac:dyDescent="0.25"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</row>
    <row r="242" spans="2:27" x14ac:dyDescent="0.25"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</row>
    <row r="243" spans="2:27" x14ac:dyDescent="0.25"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</row>
    <row r="244" spans="2:27" x14ac:dyDescent="0.25"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</row>
    <row r="245" spans="2:27" x14ac:dyDescent="0.25"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</row>
    <row r="246" spans="2:27" x14ac:dyDescent="0.25"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</row>
    <row r="247" spans="2:27" x14ac:dyDescent="0.25"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</row>
    <row r="248" spans="2:27" x14ac:dyDescent="0.25"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</row>
    <row r="249" spans="2:27" x14ac:dyDescent="0.25"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</row>
    <row r="250" spans="2:27" x14ac:dyDescent="0.25"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</row>
    <row r="251" spans="2:27" x14ac:dyDescent="0.25"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</row>
    <row r="252" spans="2:27" x14ac:dyDescent="0.25"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</row>
    <row r="253" spans="2:27" x14ac:dyDescent="0.25"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</row>
    <row r="254" spans="2:27" x14ac:dyDescent="0.25"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</row>
    <row r="255" spans="2:27" x14ac:dyDescent="0.25"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</row>
    <row r="256" spans="2:27" x14ac:dyDescent="0.25"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</row>
    <row r="257" spans="2:27" x14ac:dyDescent="0.25"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</row>
    <row r="258" spans="2:27" x14ac:dyDescent="0.25"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</row>
    <row r="259" spans="2:27" x14ac:dyDescent="0.25"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</row>
    <row r="260" spans="2:27" x14ac:dyDescent="0.25"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</row>
    <row r="261" spans="2:27" x14ac:dyDescent="0.25"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</row>
    <row r="262" spans="2:27" x14ac:dyDescent="0.25"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</row>
    <row r="263" spans="2:27" x14ac:dyDescent="0.25"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</row>
    <row r="264" spans="2:27" x14ac:dyDescent="0.25"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</row>
    <row r="265" spans="2:27" x14ac:dyDescent="0.25"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</row>
    <row r="266" spans="2:27" x14ac:dyDescent="0.25"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</row>
    <row r="267" spans="2:27" x14ac:dyDescent="0.25"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</row>
    <row r="268" spans="2:27" x14ac:dyDescent="0.25"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</row>
    <row r="269" spans="2:27" x14ac:dyDescent="0.25"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</row>
    <row r="270" spans="2:27" x14ac:dyDescent="0.25"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</row>
    <row r="271" spans="2:27" x14ac:dyDescent="0.25"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</row>
    <row r="272" spans="2:27" x14ac:dyDescent="0.25"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</row>
    <row r="273" spans="2:27" x14ac:dyDescent="0.25"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</row>
    <row r="274" spans="2:27" x14ac:dyDescent="0.25"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</row>
    <row r="275" spans="2:27" x14ac:dyDescent="0.25"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</row>
    <row r="276" spans="2:27" x14ac:dyDescent="0.25"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</row>
    <row r="277" spans="2:27" x14ac:dyDescent="0.25"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</row>
    <row r="278" spans="2:27" x14ac:dyDescent="0.25"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  <c r="AA278" s="216"/>
    </row>
    <row r="279" spans="2:27" x14ac:dyDescent="0.25"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  <c r="AA279" s="216"/>
    </row>
    <row r="280" spans="2:27" x14ac:dyDescent="0.25"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  <c r="AA280" s="216"/>
    </row>
    <row r="281" spans="2:27" x14ac:dyDescent="0.25"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  <c r="AA281" s="216"/>
    </row>
    <row r="282" spans="2:27" x14ac:dyDescent="0.25"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</row>
    <row r="283" spans="2:27" x14ac:dyDescent="0.25"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  <c r="AA283" s="216"/>
    </row>
    <row r="284" spans="2:27" x14ac:dyDescent="0.25"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  <c r="AA284" s="216"/>
    </row>
    <row r="285" spans="2:27" x14ac:dyDescent="0.25"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</row>
    <row r="286" spans="2:27" x14ac:dyDescent="0.25"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</row>
    <row r="287" spans="2:27" x14ac:dyDescent="0.25"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</row>
    <row r="288" spans="2:27" x14ac:dyDescent="0.25"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</row>
    <row r="289" spans="2:27" x14ac:dyDescent="0.25"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  <c r="AA289" s="216"/>
    </row>
    <row r="290" spans="2:27" x14ac:dyDescent="0.25"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  <c r="AA290" s="216"/>
    </row>
    <row r="291" spans="2:27" x14ac:dyDescent="0.25"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  <c r="AA291" s="216"/>
    </row>
    <row r="292" spans="2:27" x14ac:dyDescent="0.25"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  <c r="AA292" s="216"/>
    </row>
    <row r="293" spans="2:27" x14ac:dyDescent="0.25"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  <c r="AA293" s="216"/>
    </row>
    <row r="294" spans="2:27" x14ac:dyDescent="0.25"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  <c r="AA294" s="216"/>
    </row>
    <row r="295" spans="2:27" x14ac:dyDescent="0.25"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  <c r="AA295" s="216"/>
    </row>
    <row r="296" spans="2:27" x14ac:dyDescent="0.25"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  <c r="AA296" s="216"/>
    </row>
    <row r="297" spans="2:27" x14ac:dyDescent="0.25"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  <c r="AA297" s="216"/>
    </row>
    <row r="298" spans="2:27" x14ac:dyDescent="0.25"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  <c r="AA298" s="216"/>
    </row>
    <row r="299" spans="2:27" x14ac:dyDescent="0.25"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</row>
    <row r="300" spans="2:27" x14ac:dyDescent="0.25"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  <c r="AA300" s="216"/>
    </row>
    <row r="301" spans="2:27" x14ac:dyDescent="0.25"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  <c r="AA301" s="216"/>
    </row>
    <row r="302" spans="2:27" x14ac:dyDescent="0.25"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</row>
    <row r="303" spans="2:27" x14ac:dyDescent="0.25"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  <c r="AA303" s="216"/>
    </row>
    <row r="304" spans="2:27" x14ac:dyDescent="0.25"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</row>
    <row r="305" spans="2:27" x14ac:dyDescent="0.25"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  <c r="AA305" s="216"/>
    </row>
    <row r="306" spans="2:27" x14ac:dyDescent="0.25"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</row>
    <row r="307" spans="2:27" x14ac:dyDescent="0.25"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  <c r="AA307" s="216"/>
    </row>
    <row r="308" spans="2:27" x14ac:dyDescent="0.25"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</row>
    <row r="309" spans="2:27" x14ac:dyDescent="0.25"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  <c r="AA309" s="216"/>
    </row>
    <row r="310" spans="2:27" x14ac:dyDescent="0.25"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</row>
    <row r="311" spans="2:27" x14ac:dyDescent="0.25"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  <c r="AA311" s="216"/>
    </row>
    <row r="312" spans="2:27" x14ac:dyDescent="0.25"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</row>
    <row r="313" spans="2:27" x14ac:dyDescent="0.25"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  <c r="AA313" s="216"/>
    </row>
    <row r="314" spans="2:27" x14ac:dyDescent="0.25"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  <c r="AA314" s="216"/>
    </row>
    <row r="315" spans="2:27" x14ac:dyDescent="0.25"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  <c r="AA315" s="216"/>
    </row>
    <row r="316" spans="2:27" x14ac:dyDescent="0.25"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  <c r="AA316" s="216"/>
    </row>
    <row r="317" spans="2:27" x14ac:dyDescent="0.25"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  <c r="AA317" s="216"/>
    </row>
    <row r="318" spans="2:27" x14ac:dyDescent="0.25"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  <c r="AA318" s="216"/>
    </row>
    <row r="319" spans="2:27" x14ac:dyDescent="0.25"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  <c r="AA319" s="216"/>
    </row>
    <row r="320" spans="2:27" x14ac:dyDescent="0.25"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  <c r="AA320" s="216"/>
    </row>
    <row r="321" spans="2:27" x14ac:dyDescent="0.25"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  <c r="AA321" s="216"/>
    </row>
    <row r="322" spans="2:27" x14ac:dyDescent="0.25"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</row>
    <row r="323" spans="2:27" x14ac:dyDescent="0.25"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  <c r="AA323" s="216"/>
    </row>
    <row r="324" spans="2:27" x14ac:dyDescent="0.25"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</row>
    <row r="325" spans="2:27" x14ac:dyDescent="0.25"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  <c r="AA325" s="216"/>
    </row>
    <row r="326" spans="2:27" x14ac:dyDescent="0.25"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  <c r="AA326" s="216"/>
    </row>
    <row r="327" spans="2:27" x14ac:dyDescent="0.25"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  <c r="AA327" s="216"/>
    </row>
    <row r="328" spans="2:27" x14ac:dyDescent="0.25"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  <c r="AA328" s="216"/>
    </row>
    <row r="329" spans="2:27" x14ac:dyDescent="0.25"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  <c r="AA329" s="216"/>
    </row>
    <row r="330" spans="2:27" x14ac:dyDescent="0.25"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  <c r="AA330" s="216"/>
    </row>
    <row r="331" spans="2:27" x14ac:dyDescent="0.25"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  <c r="AA331" s="216"/>
    </row>
    <row r="332" spans="2:27" x14ac:dyDescent="0.25"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  <c r="AA332" s="216"/>
    </row>
    <row r="333" spans="2:27" x14ac:dyDescent="0.25"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  <c r="AA333" s="216"/>
    </row>
    <row r="334" spans="2:27" x14ac:dyDescent="0.25"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  <c r="AA334" s="216"/>
    </row>
    <row r="335" spans="2:27" x14ac:dyDescent="0.25"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  <c r="AA335" s="216"/>
    </row>
    <row r="336" spans="2:27" x14ac:dyDescent="0.25"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</row>
    <row r="337" spans="2:27" x14ac:dyDescent="0.25"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  <c r="AA337" s="216"/>
    </row>
    <row r="338" spans="2:27" x14ac:dyDescent="0.25"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  <c r="AA338" s="216"/>
    </row>
    <row r="339" spans="2:27" x14ac:dyDescent="0.25"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  <c r="AA339" s="216"/>
    </row>
    <row r="340" spans="2:27" x14ac:dyDescent="0.25"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</row>
    <row r="341" spans="2:27" x14ac:dyDescent="0.25"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  <c r="AA341" s="216"/>
    </row>
    <row r="342" spans="2:27" x14ac:dyDescent="0.25"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  <c r="AA342" s="216"/>
    </row>
    <row r="343" spans="2:27" x14ac:dyDescent="0.25"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  <c r="AA343" s="216"/>
    </row>
    <row r="344" spans="2:27" x14ac:dyDescent="0.25"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  <c r="AA344" s="216"/>
    </row>
    <row r="345" spans="2:27" x14ac:dyDescent="0.25"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</row>
    <row r="346" spans="2:27" x14ac:dyDescent="0.25"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</row>
    <row r="347" spans="2:27" x14ac:dyDescent="0.25"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  <c r="AA347" s="216"/>
    </row>
    <row r="348" spans="2:27" x14ac:dyDescent="0.25"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  <c r="AA348" s="216"/>
    </row>
    <row r="349" spans="2:27" x14ac:dyDescent="0.25"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  <c r="AA349" s="216"/>
    </row>
    <row r="350" spans="2:27" x14ac:dyDescent="0.25"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  <c r="AA350" s="216"/>
    </row>
    <row r="351" spans="2:27" x14ac:dyDescent="0.25"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</row>
    <row r="352" spans="2:27" x14ac:dyDescent="0.25"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  <c r="AA352" s="216"/>
    </row>
    <row r="353" spans="2:27" x14ac:dyDescent="0.25"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  <c r="AA353" s="216"/>
    </row>
    <row r="354" spans="2:27" x14ac:dyDescent="0.25"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  <c r="AA354" s="216"/>
    </row>
    <row r="355" spans="2:27" x14ac:dyDescent="0.25"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  <c r="AA355" s="216"/>
    </row>
    <row r="356" spans="2:27" x14ac:dyDescent="0.25"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  <c r="AA356" s="216"/>
    </row>
    <row r="357" spans="2:27" x14ac:dyDescent="0.25"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</row>
    <row r="358" spans="2:27" x14ac:dyDescent="0.25"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</row>
    <row r="359" spans="2:27" x14ac:dyDescent="0.25"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</row>
    <row r="360" spans="2:27" x14ac:dyDescent="0.25"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  <c r="AA360" s="216"/>
    </row>
    <row r="361" spans="2:27" x14ac:dyDescent="0.25"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</row>
    <row r="362" spans="2:27" x14ac:dyDescent="0.25"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</row>
    <row r="363" spans="2:27" x14ac:dyDescent="0.25"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</row>
    <row r="364" spans="2:27" x14ac:dyDescent="0.25"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  <c r="AA364" s="216"/>
    </row>
    <row r="365" spans="2:27" x14ac:dyDescent="0.25"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  <c r="AA365" s="216"/>
    </row>
    <row r="366" spans="2:27" x14ac:dyDescent="0.25"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</row>
    <row r="367" spans="2:27" x14ac:dyDescent="0.25"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  <c r="AA367" s="216"/>
    </row>
    <row r="368" spans="2:27" x14ac:dyDescent="0.25"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  <c r="AA368" s="216"/>
    </row>
    <row r="369" spans="2:27" x14ac:dyDescent="0.25"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  <c r="AA369" s="216"/>
    </row>
    <row r="370" spans="2:27" x14ac:dyDescent="0.25"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  <c r="AA370" s="216"/>
    </row>
    <row r="371" spans="2:27" x14ac:dyDescent="0.25"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  <c r="AA371" s="216"/>
    </row>
    <row r="372" spans="2:27" x14ac:dyDescent="0.25"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  <c r="AA372" s="216"/>
    </row>
    <row r="373" spans="2:27" x14ac:dyDescent="0.25"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  <c r="AA373" s="216"/>
    </row>
    <row r="374" spans="2:27" x14ac:dyDescent="0.25"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  <c r="AA374" s="216"/>
    </row>
    <row r="375" spans="2:27" x14ac:dyDescent="0.25"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  <c r="AA375" s="216"/>
    </row>
    <row r="376" spans="2:27" x14ac:dyDescent="0.25"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  <c r="AA376" s="216"/>
    </row>
    <row r="377" spans="2:27" x14ac:dyDescent="0.25"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  <c r="AA377" s="216"/>
    </row>
    <row r="378" spans="2:27" x14ac:dyDescent="0.25"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  <c r="AA378" s="216"/>
    </row>
    <row r="379" spans="2:27" x14ac:dyDescent="0.25"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  <c r="AA379" s="216"/>
    </row>
    <row r="380" spans="2:27" x14ac:dyDescent="0.25"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  <c r="AA380" s="216"/>
    </row>
    <row r="381" spans="2:27" x14ac:dyDescent="0.25"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  <c r="AA381" s="216"/>
    </row>
    <row r="382" spans="2:27" x14ac:dyDescent="0.25"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  <c r="AA382" s="216"/>
    </row>
    <row r="383" spans="2:27" x14ac:dyDescent="0.25"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  <c r="AA383" s="216"/>
    </row>
    <row r="384" spans="2:27" x14ac:dyDescent="0.25"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  <c r="AA384" s="216"/>
    </row>
    <row r="385" spans="2:27" x14ac:dyDescent="0.25"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  <c r="AA385" s="216"/>
    </row>
    <row r="386" spans="2:27" x14ac:dyDescent="0.25"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  <c r="AA386" s="216"/>
    </row>
    <row r="387" spans="2:27" x14ac:dyDescent="0.25"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  <c r="AA387" s="216"/>
    </row>
    <row r="388" spans="2:27" x14ac:dyDescent="0.25"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</row>
    <row r="389" spans="2:27" x14ac:dyDescent="0.25"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</row>
    <row r="390" spans="2:27" x14ac:dyDescent="0.25"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  <c r="AA390" s="216"/>
    </row>
    <row r="391" spans="2:27" x14ac:dyDescent="0.25"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  <c r="AA391" s="216"/>
    </row>
    <row r="392" spans="2:27" x14ac:dyDescent="0.25"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  <c r="AA392" s="216"/>
    </row>
    <row r="393" spans="2:27" x14ac:dyDescent="0.25"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  <c r="AA393" s="216"/>
    </row>
    <row r="394" spans="2:27" x14ac:dyDescent="0.25"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  <c r="AA394" s="216"/>
    </row>
    <row r="395" spans="2:27" x14ac:dyDescent="0.25"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  <c r="AA395" s="216"/>
    </row>
    <row r="396" spans="2:27" x14ac:dyDescent="0.25"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  <c r="AA396" s="216"/>
    </row>
    <row r="397" spans="2:27" x14ac:dyDescent="0.25"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  <c r="AA397" s="216"/>
    </row>
    <row r="398" spans="2:27" x14ac:dyDescent="0.25"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  <c r="AA398" s="216"/>
    </row>
    <row r="399" spans="2:27" x14ac:dyDescent="0.25"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  <c r="AA399" s="216"/>
    </row>
    <row r="400" spans="2:27" x14ac:dyDescent="0.25"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  <c r="AA400" s="216"/>
    </row>
    <row r="401" spans="2:27" x14ac:dyDescent="0.25"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</row>
    <row r="402" spans="2:27" x14ac:dyDescent="0.25"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  <c r="AA402" s="216"/>
    </row>
    <row r="403" spans="2:27" x14ac:dyDescent="0.25"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  <c r="AA403" s="216"/>
    </row>
    <row r="404" spans="2:27" x14ac:dyDescent="0.25"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  <c r="AA404" s="216"/>
    </row>
    <row r="405" spans="2:27" x14ac:dyDescent="0.25"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  <c r="AA405" s="216"/>
    </row>
    <row r="406" spans="2:27" x14ac:dyDescent="0.25"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  <c r="AA406" s="216"/>
    </row>
    <row r="407" spans="2:27" x14ac:dyDescent="0.25"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  <c r="AA407" s="216"/>
    </row>
    <row r="408" spans="2:27" x14ac:dyDescent="0.25"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  <c r="AA408" s="216"/>
    </row>
    <row r="409" spans="2:27" x14ac:dyDescent="0.25"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  <c r="AA409" s="216"/>
    </row>
    <row r="410" spans="2:27" x14ac:dyDescent="0.25"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  <c r="AA410" s="216"/>
    </row>
    <row r="411" spans="2:27" x14ac:dyDescent="0.25"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  <c r="AA411" s="216"/>
    </row>
    <row r="412" spans="2:27" x14ac:dyDescent="0.25"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  <c r="AA412" s="216"/>
    </row>
    <row r="413" spans="2:27" x14ac:dyDescent="0.25"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  <c r="AA413" s="216"/>
    </row>
    <row r="414" spans="2:27" x14ac:dyDescent="0.25"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  <c r="AA414" s="216"/>
    </row>
    <row r="415" spans="2:27" x14ac:dyDescent="0.25"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</row>
    <row r="416" spans="2:27" x14ac:dyDescent="0.25"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  <c r="AA416" s="216"/>
    </row>
    <row r="417" spans="2:27" x14ac:dyDescent="0.25"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  <c r="AA417" s="216"/>
    </row>
    <row r="418" spans="2:27" x14ac:dyDescent="0.25"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  <c r="AA418" s="216"/>
    </row>
    <row r="419" spans="2:27" x14ac:dyDescent="0.25"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  <c r="AA419" s="216"/>
    </row>
    <row r="420" spans="2:27" x14ac:dyDescent="0.25"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  <c r="AA420" s="216"/>
    </row>
    <row r="421" spans="2:27" x14ac:dyDescent="0.25"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  <c r="AA421" s="216"/>
    </row>
    <row r="422" spans="2:27" x14ac:dyDescent="0.25"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  <c r="AA422" s="216"/>
    </row>
    <row r="423" spans="2:27" x14ac:dyDescent="0.25"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  <c r="AA423" s="216"/>
    </row>
    <row r="424" spans="2:27" x14ac:dyDescent="0.25"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  <c r="AA424" s="216"/>
    </row>
    <row r="425" spans="2:27" x14ac:dyDescent="0.25"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  <c r="AA425" s="216"/>
    </row>
    <row r="426" spans="2:27" x14ac:dyDescent="0.25"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  <c r="AA426" s="216"/>
    </row>
    <row r="427" spans="2:27" x14ac:dyDescent="0.25"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  <c r="AA427" s="216"/>
    </row>
    <row r="428" spans="2:27" x14ac:dyDescent="0.25"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  <c r="AA428" s="216"/>
    </row>
    <row r="429" spans="2:27" x14ac:dyDescent="0.25"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  <c r="AA429" s="216"/>
    </row>
    <row r="430" spans="2:27" x14ac:dyDescent="0.25"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  <c r="AA430" s="216"/>
    </row>
    <row r="431" spans="2:27" x14ac:dyDescent="0.25"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  <c r="AA431" s="216"/>
    </row>
    <row r="432" spans="2:27" x14ac:dyDescent="0.25"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  <c r="AA432" s="216"/>
    </row>
    <row r="433" spans="2:27" x14ac:dyDescent="0.25"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</row>
    <row r="434" spans="2:27" x14ac:dyDescent="0.25"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</row>
    <row r="435" spans="2:27" x14ac:dyDescent="0.25"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</row>
    <row r="436" spans="2:27" x14ac:dyDescent="0.25"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</row>
    <row r="437" spans="2:27" x14ac:dyDescent="0.25"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</row>
    <row r="438" spans="2:27" x14ac:dyDescent="0.25"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</row>
    <row r="439" spans="2:27" x14ac:dyDescent="0.25"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</row>
    <row r="440" spans="2:27" x14ac:dyDescent="0.25"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</row>
    <row r="441" spans="2:27" x14ac:dyDescent="0.25"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</row>
    <row r="442" spans="2:27" x14ac:dyDescent="0.25"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</row>
    <row r="443" spans="2:27" x14ac:dyDescent="0.25"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</row>
    <row r="444" spans="2:27" x14ac:dyDescent="0.25"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</row>
    <row r="445" spans="2:27" x14ac:dyDescent="0.25"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</row>
    <row r="446" spans="2:27" x14ac:dyDescent="0.25"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</row>
    <row r="447" spans="2:27" x14ac:dyDescent="0.25"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</row>
    <row r="448" spans="2:27" x14ac:dyDescent="0.25"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</row>
    <row r="449" spans="2:27" x14ac:dyDescent="0.25"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</row>
    <row r="450" spans="2:27" x14ac:dyDescent="0.25"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</row>
    <row r="451" spans="2:27" x14ac:dyDescent="0.25"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</row>
    <row r="452" spans="2:27" x14ac:dyDescent="0.25"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</row>
    <row r="453" spans="2:27" x14ac:dyDescent="0.25"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</row>
    <row r="454" spans="2:27" x14ac:dyDescent="0.25"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</row>
    <row r="455" spans="2:27" x14ac:dyDescent="0.25"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</row>
    <row r="456" spans="2:27" x14ac:dyDescent="0.25"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</row>
    <row r="457" spans="2:27" x14ac:dyDescent="0.25"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</row>
    <row r="458" spans="2:27" x14ac:dyDescent="0.25"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</row>
    <row r="459" spans="2:27" x14ac:dyDescent="0.25"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</row>
    <row r="460" spans="2:27" x14ac:dyDescent="0.25"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</row>
    <row r="461" spans="2:27" x14ac:dyDescent="0.25"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</row>
    <row r="462" spans="2:27" x14ac:dyDescent="0.25"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</row>
    <row r="463" spans="2:27" x14ac:dyDescent="0.25"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</row>
    <row r="464" spans="2:27" x14ac:dyDescent="0.25"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</row>
    <row r="465" spans="2:27" x14ac:dyDescent="0.25"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</row>
    <row r="466" spans="2:27" x14ac:dyDescent="0.25"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</row>
    <row r="467" spans="2:27" x14ac:dyDescent="0.25"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</row>
    <row r="468" spans="2:27" x14ac:dyDescent="0.25"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</row>
    <row r="469" spans="2:27" x14ac:dyDescent="0.25"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</row>
    <row r="470" spans="2:27" x14ac:dyDescent="0.25"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</row>
    <row r="471" spans="2:27" x14ac:dyDescent="0.25"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</row>
    <row r="472" spans="2:27" x14ac:dyDescent="0.25"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</row>
    <row r="473" spans="2:27" x14ac:dyDescent="0.25"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</row>
    <row r="474" spans="2:27" x14ac:dyDescent="0.25"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</row>
    <row r="475" spans="2:27" x14ac:dyDescent="0.25"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</row>
    <row r="476" spans="2:27" x14ac:dyDescent="0.25"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</row>
    <row r="477" spans="2:27" x14ac:dyDescent="0.25"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</row>
    <row r="478" spans="2:27" x14ac:dyDescent="0.25"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</row>
    <row r="479" spans="2:27" x14ac:dyDescent="0.25"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</row>
    <row r="480" spans="2:27" x14ac:dyDescent="0.25"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</row>
    <row r="481" spans="2:27" x14ac:dyDescent="0.25"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</row>
    <row r="482" spans="2:27" x14ac:dyDescent="0.25"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</row>
    <row r="483" spans="2:27" x14ac:dyDescent="0.25"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</row>
    <row r="484" spans="2:27" x14ac:dyDescent="0.25"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</row>
    <row r="485" spans="2:27" x14ac:dyDescent="0.25"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</row>
    <row r="486" spans="2:27" x14ac:dyDescent="0.25"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</row>
    <row r="487" spans="2:27" x14ac:dyDescent="0.25"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</row>
    <row r="488" spans="2:27" x14ac:dyDescent="0.25"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</row>
    <row r="489" spans="2:27" x14ac:dyDescent="0.25"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</row>
    <row r="490" spans="2:27" x14ac:dyDescent="0.25"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</row>
    <row r="491" spans="2:27" x14ac:dyDescent="0.25"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</row>
    <row r="492" spans="2:27" x14ac:dyDescent="0.25"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</row>
    <row r="493" spans="2:27" x14ac:dyDescent="0.25"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</row>
    <row r="494" spans="2:27" x14ac:dyDescent="0.25"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</row>
    <row r="495" spans="2:27" x14ac:dyDescent="0.25"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</row>
    <row r="496" spans="2:27" x14ac:dyDescent="0.25"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</row>
    <row r="497" spans="2:27" x14ac:dyDescent="0.25"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</row>
    <row r="498" spans="2:27" x14ac:dyDescent="0.25"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</row>
    <row r="499" spans="2:27" x14ac:dyDescent="0.25"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</row>
    <row r="500" spans="2:27" x14ac:dyDescent="0.25"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</row>
    <row r="501" spans="2:27" x14ac:dyDescent="0.25"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</row>
    <row r="502" spans="2:27" x14ac:dyDescent="0.25"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</row>
    <row r="503" spans="2:27" x14ac:dyDescent="0.25"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</row>
    <row r="504" spans="2:27" x14ac:dyDescent="0.25"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</row>
    <row r="505" spans="2:27" x14ac:dyDescent="0.25"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</row>
    <row r="506" spans="2:27" x14ac:dyDescent="0.25"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</row>
    <row r="507" spans="2:27" x14ac:dyDescent="0.25"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</row>
    <row r="508" spans="2:27" x14ac:dyDescent="0.25"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</row>
    <row r="509" spans="2:27" x14ac:dyDescent="0.25"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</row>
    <row r="510" spans="2:27" x14ac:dyDescent="0.25"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</row>
    <row r="511" spans="2:27" x14ac:dyDescent="0.25"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</row>
    <row r="512" spans="2:27" x14ac:dyDescent="0.25"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</row>
    <row r="513" spans="2:27" x14ac:dyDescent="0.25"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</row>
    <row r="514" spans="2:27" x14ac:dyDescent="0.25"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</row>
    <row r="515" spans="2:27" x14ac:dyDescent="0.25"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</row>
    <row r="516" spans="2:27" x14ac:dyDescent="0.25"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</row>
    <row r="517" spans="2:27" x14ac:dyDescent="0.25"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</row>
    <row r="518" spans="2:27" x14ac:dyDescent="0.25"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</row>
    <row r="519" spans="2:27" x14ac:dyDescent="0.25"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</row>
    <row r="520" spans="2:27" x14ac:dyDescent="0.25"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</row>
    <row r="521" spans="2:27" x14ac:dyDescent="0.25"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</row>
    <row r="522" spans="2:27" x14ac:dyDescent="0.25"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</row>
    <row r="523" spans="2:27" x14ac:dyDescent="0.25"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</row>
    <row r="524" spans="2:27" x14ac:dyDescent="0.25"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</row>
    <row r="525" spans="2:27" x14ac:dyDescent="0.25"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</row>
    <row r="526" spans="2:27" x14ac:dyDescent="0.25"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</row>
    <row r="527" spans="2:27" x14ac:dyDescent="0.25"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</row>
    <row r="528" spans="2:27" x14ac:dyDescent="0.25"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</row>
    <row r="529" spans="2:27" x14ac:dyDescent="0.25"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</row>
    <row r="530" spans="2:27" x14ac:dyDescent="0.25"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</row>
    <row r="531" spans="2:27" x14ac:dyDescent="0.25"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</row>
    <row r="532" spans="2:27" x14ac:dyDescent="0.25"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</row>
    <row r="533" spans="2:27" x14ac:dyDescent="0.25"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</row>
    <row r="534" spans="2:27" x14ac:dyDescent="0.25"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</row>
    <row r="535" spans="2:27" x14ac:dyDescent="0.25"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</row>
    <row r="536" spans="2:27" x14ac:dyDescent="0.25"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</row>
    <row r="537" spans="2:27" x14ac:dyDescent="0.25"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</row>
    <row r="538" spans="2:27" x14ac:dyDescent="0.25"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</row>
    <row r="539" spans="2:27" x14ac:dyDescent="0.25"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</row>
    <row r="540" spans="2:27" x14ac:dyDescent="0.25"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</row>
    <row r="541" spans="2:27" x14ac:dyDescent="0.25"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</row>
    <row r="542" spans="2:27" x14ac:dyDescent="0.25"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</row>
    <row r="543" spans="2:27" x14ac:dyDescent="0.25"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</row>
    <row r="544" spans="2:27" x14ac:dyDescent="0.25"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</row>
    <row r="545" spans="2:27" x14ac:dyDescent="0.25"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</row>
    <row r="546" spans="2:27" x14ac:dyDescent="0.25"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</row>
    <row r="547" spans="2:27" x14ac:dyDescent="0.25"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</row>
    <row r="548" spans="2:27" x14ac:dyDescent="0.25"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</row>
    <row r="549" spans="2:27" x14ac:dyDescent="0.25"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</row>
    <row r="550" spans="2:27" x14ac:dyDescent="0.25"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</row>
    <row r="551" spans="2:27" x14ac:dyDescent="0.25"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</row>
    <row r="552" spans="2:27" x14ac:dyDescent="0.25"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</row>
    <row r="553" spans="2:27" x14ac:dyDescent="0.25"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</row>
    <row r="554" spans="2:27" x14ac:dyDescent="0.25"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</row>
    <row r="555" spans="2:27" x14ac:dyDescent="0.25"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</row>
    <row r="556" spans="2:27" x14ac:dyDescent="0.25"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</row>
    <row r="557" spans="2:27" x14ac:dyDescent="0.25"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</row>
    <row r="558" spans="2:27" x14ac:dyDescent="0.25"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</row>
    <row r="559" spans="2:27" x14ac:dyDescent="0.25"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</row>
    <row r="560" spans="2:27" x14ac:dyDescent="0.25"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</row>
    <row r="561" spans="2:27" x14ac:dyDescent="0.25"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</row>
    <row r="562" spans="2:27" x14ac:dyDescent="0.25"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</row>
    <row r="563" spans="2:27" x14ac:dyDescent="0.25"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</row>
    <row r="564" spans="2:27" x14ac:dyDescent="0.25"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</row>
    <row r="565" spans="2:27" x14ac:dyDescent="0.25"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</row>
    <row r="566" spans="2:27" x14ac:dyDescent="0.25"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</row>
    <row r="567" spans="2:27" x14ac:dyDescent="0.25"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</row>
    <row r="568" spans="2:27" x14ac:dyDescent="0.25"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</row>
    <row r="569" spans="2:27" x14ac:dyDescent="0.25"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</row>
    <row r="570" spans="2:27" x14ac:dyDescent="0.25"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</row>
    <row r="571" spans="2:27" x14ac:dyDescent="0.25"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</row>
    <row r="572" spans="2:27" x14ac:dyDescent="0.25"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</row>
    <row r="573" spans="2:27" x14ac:dyDescent="0.25"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</row>
    <row r="574" spans="2:27" x14ac:dyDescent="0.25"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</row>
    <row r="575" spans="2:27" x14ac:dyDescent="0.25"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</row>
    <row r="576" spans="2:27" x14ac:dyDescent="0.25"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</row>
    <row r="577" spans="2:27" x14ac:dyDescent="0.25"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</row>
    <row r="578" spans="2:27" x14ac:dyDescent="0.25"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</row>
    <row r="579" spans="2:27" x14ac:dyDescent="0.25"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</row>
    <row r="580" spans="2:27" x14ac:dyDescent="0.25"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</row>
    <row r="581" spans="2:27" x14ac:dyDescent="0.25"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</row>
    <row r="582" spans="2:27" x14ac:dyDescent="0.25"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</row>
    <row r="583" spans="2:27" x14ac:dyDescent="0.25"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</row>
    <row r="584" spans="2:27" x14ac:dyDescent="0.25"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</row>
    <row r="585" spans="2:27" x14ac:dyDescent="0.25"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</row>
    <row r="586" spans="2:27" x14ac:dyDescent="0.25"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</row>
    <row r="587" spans="2:27" x14ac:dyDescent="0.25"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</row>
    <row r="588" spans="2:27" x14ac:dyDescent="0.25"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</row>
    <row r="589" spans="2:27" x14ac:dyDescent="0.25"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</row>
    <row r="590" spans="2:27" x14ac:dyDescent="0.25"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</row>
    <row r="591" spans="2:27" x14ac:dyDescent="0.25"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</row>
    <row r="592" spans="2:27" x14ac:dyDescent="0.25"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</row>
    <row r="593" spans="2:27" x14ac:dyDescent="0.25"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</row>
    <row r="594" spans="2:27" x14ac:dyDescent="0.25"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</row>
    <row r="595" spans="2:27" x14ac:dyDescent="0.25"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</row>
    <row r="596" spans="2:27" x14ac:dyDescent="0.25"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</row>
    <row r="597" spans="2:27" x14ac:dyDescent="0.25"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</row>
    <row r="598" spans="2:27" x14ac:dyDescent="0.25"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</row>
    <row r="599" spans="2:27" x14ac:dyDescent="0.25"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</row>
    <row r="600" spans="2:27" x14ac:dyDescent="0.25"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</row>
    <row r="601" spans="2:27" x14ac:dyDescent="0.25"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</row>
    <row r="602" spans="2:27" x14ac:dyDescent="0.25"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</row>
    <row r="603" spans="2:27" x14ac:dyDescent="0.25"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</row>
    <row r="604" spans="2:27" x14ac:dyDescent="0.25"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  <c r="AA604" s="216"/>
    </row>
    <row r="605" spans="2:27" x14ac:dyDescent="0.25"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  <c r="AA605" s="216"/>
    </row>
    <row r="606" spans="2:27" x14ac:dyDescent="0.25"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  <c r="AA606" s="216"/>
    </row>
    <row r="607" spans="2:27" x14ac:dyDescent="0.25"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  <c r="AA607" s="216"/>
    </row>
    <row r="608" spans="2:27" x14ac:dyDescent="0.25"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</row>
    <row r="609" spans="2:27" x14ac:dyDescent="0.25"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  <c r="AA609" s="216"/>
    </row>
    <row r="610" spans="2:27" x14ac:dyDescent="0.25"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  <c r="AA610" s="216"/>
    </row>
    <row r="611" spans="2:27" x14ac:dyDescent="0.25"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  <c r="AA611" s="216"/>
    </row>
    <row r="612" spans="2:27" x14ac:dyDescent="0.25"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  <c r="AA612" s="216"/>
    </row>
    <row r="613" spans="2:27" x14ac:dyDescent="0.25"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  <c r="AA613" s="216"/>
    </row>
    <row r="614" spans="2:27" x14ac:dyDescent="0.25"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  <c r="AA614" s="216"/>
    </row>
    <row r="615" spans="2:27" x14ac:dyDescent="0.25"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  <c r="AA615" s="216"/>
    </row>
    <row r="616" spans="2:27" x14ac:dyDescent="0.25"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  <c r="AA616" s="216"/>
    </row>
    <row r="617" spans="2:27" x14ac:dyDescent="0.25"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  <c r="AA617" s="216"/>
    </row>
    <row r="618" spans="2:27" x14ac:dyDescent="0.25"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  <c r="AA618" s="216"/>
    </row>
    <row r="619" spans="2:27" x14ac:dyDescent="0.25"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  <c r="AA619" s="216"/>
    </row>
    <row r="620" spans="2:27" x14ac:dyDescent="0.25"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  <c r="AA620" s="216"/>
    </row>
    <row r="621" spans="2:27" x14ac:dyDescent="0.25"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  <c r="AA621" s="216"/>
    </row>
    <row r="622" spans="2:27" x14ac:dyDescent="0.25"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  <c r="AA622" s="216"/>
    </row>
    <row r="623" spans="2:27" x14ac:dyDescent="0.25"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  <c r="AA623" s="216"/>
    </row>
    <row r="624" spans="2:27" x14ac:dyDescent="0.25"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  <c r="AA624" s="216"/>
    </row>
    <row r="625" spans="2:27" x14ac:dyDescent="0.25"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  <c r="AA625" s="216"/>
    </row>
    <row r="626" spans="2:27" x14ac:dyDescent="0.25"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  <c r="AA626" s="216"/>
    </row>
    <row r="627" spans="2:27" x14ac:dyDescent="0.25"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  <c r="AA627" s="216"/>
    </row>
    <row r="628" spans="2:27" x14ac:dyDescent="0.25"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  <c r="AA628" s="216"/>
    </row>
    <row r="629" spans="2:27" x14ac:dyDescent="0.25"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  <c r="AA629" s="216"/>
    </row>
    <row r="630" spans="2:27" x14ac:dyDescent="0.25"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  <c r="AA630" s="216"/>
    </row>
    <row r="631" spans="2:27" x14ac:dyDescent="0.25"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  <c r="AA631" s="216"/>
    </row>
    <row r="632" spans="2:27" x14ac:dyDescent="0.25"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  <c r="AA632" s="216"/>
    </row>
    <row r="633" spans="2:27" x14ac:dyDescent="0.25"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  <c r="AA633" s="216"/>
    </row>
    <row r="634" spans="2:27" x14ac:dyDescent="0.25"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  <c r="AA634" s="216"/>
    </row>
    <row r="635" spans="2:27" x14ac:dyDescent="0.25"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  <c r="AA635" s="216"/>
    </row>
    <row r="636" spans="2:27" x14ac:dyDescent="0.25"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  <c r="AA636" s="216"/>
    </row>
    <row r="637" spans="2:27" x14ac:dyDescent="0.25"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  <c r="AA637" s="216"/>
    </row>
    <row r="638" spans="2:27" x14ac:dyDescent="0.25"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  <c r="AA638" s="216"/>
    </row>
    <row r="639" spans="2:27" x14ac:dyDescent="0.25"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  <c r="AA639" s="216"/>
    </row>
    <row r="640" spans="2:27" x14ac:dyDescent="0.25"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  <c r="AA640" s="216"/>
    </row>
    <row r="641" spans="2:27" x14ac:dyDescent="0.25"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  <c r="AA641" s="216"/>
    </row>
    <row r="642" spans="2:27" x14ac:dyDescent="0.25"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  <c r="AA642" s="216"/>
    </row>
    <row r="643" spans="2:27" x14ac:dyDescent="0.25"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  <c r="AA643" s="216"/>
    </row>
    <row r="644" spans="2:27" x14ac:dyDescent="0.25"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  <c r="AA644" s="216"/>
    </row>
    <row r="645" spans="2:27" x14ac:dyDescent="0.25"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  <c r="AA645" s="216"/>
    </row>
    <row r="646" spans="2:27" x14ac:dyDescent="0.25"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  <c r="AA646" s="216"/>
    </row>
    <row r="647" spans="2:27" x14ac:dyDescent="0.25"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  <c r="AA647" s="216"/>
    </row>
    <row r="648" spans="2:27" x14ac:dyDescent="0.25"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</row>
    <row r="649" spans="2:27" x14ac:dyDescent="0.25"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  <c r="AA649" s="216"/>
    </row>
    <row r="650" spans="2:27" x14ac:dyDescent="0.25"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</row>
    <row r="651" spans="2:27" x14ac:dyDescent="0.25"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  <c r="AA651" s="216"/>
    </row>
    <row r="652" spans="2:27" x14ac:dyDescent="0.25"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  <c r="AA652" s="216"/>
    </row>
    <row r="653" spans="2:27" x14ac:dyDescent="0.25"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  <c r="AA653" s="216"/>
    </row>
    <row r="654" spans="2:27" x14ac:dyDescent="0.25"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</row>
    <row r="655" spans="2:27" x14ac:dyDescent="0.25"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  <c r="AA655" s="216"/>
    </row>
    <row r="656" spans="2:27" x14ac:dyDescent="0.25"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</row>
    <row r="657" spans="2:27" x14ac:dyDescent="0.25"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  <c r="AA657" s="216"/>
    </row>
    <row r="658" spans="2:27" x14ac:dyDescent="0.25"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  <c r="AA658" s="216"/>
    </row>
    <row r="659" spans="2:27" x14ac:dyDescent="0.25"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  <c r="AA659" s="216"/>
    </row>
    <row r="660" spans="2:27" x14ac:dyDescent="0.25"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  <c r="AA660" s="216"/>
    </row>
    <row r="661" spans="2:27" x14ac:dyDescent="0.25"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  <c r="AA661" s="216"/>
    </row>
    <row r="662" spans="2:27" x14ac:dyDescent="0.25"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  <c r="AA662" s="216"/>
    </row>
    <row r="663" spans="2:27" x14ac:dyDescent="0.25"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  <c r="AA663" s="216"/>
    </row>
    <row r="664" spans="2:27" x14ac:dyDescent="0.25"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</row>
    <row r="665" spans="2:27" x14ac:dyDescent="0.25"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  <c r="AA665" s="216"/>
    </row>
    <row r="666" spans="2:27" x14ac:dyDescent="0.25"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</row>
    <row r="667" spans="2:27" x14ac:dyDescent="0.25"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  <c r="AA667" s="216"/>
    </row>
    <row r="668" spans="2:27" x14ac:dyDescent="0.25"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  <c r="AA668" s="216"/>
    </row>
    <row r="669" spans="2:27" x14ac:dyDescent="0.25"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  <c r="AA669" s="216"/>
    </row>
    <row r="670" spans="2:27" x14ac:dyDescent="0.25"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  <c r="AA670" s="216"/>
    </row>
    <row r="671" spans="2:27" x14ac:dyDescent="0.25"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  <c r="AA671" s="216"/>
    </row>
    <row r="672" spans="2:27" x14ac:dyDescent="0.25"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  <c r="AA672" s="216"/>
    </row>
    <row r="673" spans="2:27" x14ac:dyDescent="0.25"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  <c r="AA673" s="216"/>
    </row>
    <row r="674" spans="2:27" x14ac:dyDescent="0.25"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</row>
    <row r="675" spans="2:27" x14ac:dyDescent="0.25"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  <c r="AA675" s="216"/>
    </row>
    <row r="676" spans="2:27" x14ac:dyDescent="0.25"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  <c r="AA676" s="216"/>
    </row>
    <row r="677" spans="2:27" x14ac:dyDescent="0.25"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  <c r="AA677" s="216"/>
    </row>
    <row r="678" spans="2:27" x14ac:dyDescent="0.25"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  <c r="AA678" s="216"/>
    </row>
    <row r="679" spans="2:27" x14ac:dyDescent="0.25"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  <c r="AA679" s="216"/>
    </row>
    <row r="680" spans="2:27" x14ac:dyDescent="0.25"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  <c r="AA680" s="216"/>
    </row>
    <row r="681" spans="2:27" x14ac:dyDescent="0.25"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  <c r="AA681" s="216"/>
    </row>
    <row r="682" spans="2:27" x14ac:dyDescent="0.25"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  <c r="AA682" s="216"/>
    </row>
    <row r="683" spans="2:27" x14ac:dyDescent="0.25"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  <c r="AA683" s="216"/>
    </row>
    <row r="684" spans="2:27" x14ac:dyDescent="0.25"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  <c r="AA684" s="216"/>
    </row>
    <row r="685" spans="2:27" x14ac:dyDescent="0.25"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  <c r="AA685" s="216"/>
    </row>
    <row r="686" spans="2:27" x14ac:dyDescent="0.25"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  <c r="AA686" s="216"/>
    </row>
    <row r="687" spans="2:27" x14ac:dyDescent="0.25"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  <c r="AA687" s="216"/>
    </row>
    <row r="688" spans="2:27" x14ac:dyDescent="0.25"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  <c r="AA688" s="216"/>
    </row>
    <row r="689" spans="2:27" x14ac:dyDescent="0.25"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  <c r="AA689" s="216"/>
    </row>
    <row r="690" spans="2:27" x14ac:dyDescent="0.25"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  <c r="AA690" s="216"/>
    </row>
    <row r="691" spans="2:27" x14ac:dyDescent="0.25"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  <c r="AA691" s="216"/>
    </row>
    <row r="692" spans="2:27" x14ac:dyDescent="0.25"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</row>
    <row r="693" spans="2:27" x14ac:dyDescent="0.25"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  <c r="AA693" s="216"/>
    </row>
    <row r="694" spans="2:27" x14ac:dyDescent="0.25"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  <c r="AA694" s="216"/>
    </row>
    <row r="695" spans="2:27" x14ac:dyDescent="0.25"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  <c r="AA695" s="216"/>
    </row>
    <row r="696" spans="2:27" x14ac:dyDescent="0.25"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  <c r="AA696" s="216"/>
    </row>
    <row r="697" spans="2:27" x14ac:dyDescent="0.25"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  <c r="AA697" s="216"/>
    </row>
    <row r="698" spans="2:27" x14ac:dyDescent="0.25"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  <c r="AA698" s="216"/>
    </row>
    <row r="699" spans="2:27" x14ac:dyDescent="0.25"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  <c r="AA699" s="216"/>
    </row>
    <row r="700" spans="2:27" x14ac:dyDescent="0.25"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</row>
    <row r="701" spans="2:27" x14ac:dyDescent="0.25"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  <c r="AA701" s="216"/>
    </row>
    <row r="702" spans="2:27" x14ac:dyDescent="0.25"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</row>
    <row r="703" spans="2:27" x14ac:dyDescent="0.25"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  <c r="AA703" s="216"/>
    </row>
    <row r="704" spans="2:27" x14ac:dyDescent="0.25"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</row>
    <row r="705" spans="2:27" x14ac:dyDescent="0.25"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  <c r="AA705" s="216"/>
    </row>
    <row r="706" spans="2:27" x14ac:dyDescent="0.25"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</row>
    <row r="707" spans="2:27" x14ac:dyDescent="0.25"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  <c r="AA707" s="216"/>
    </row>
    <row r="708" spans="2:27" x14ac:dyDescent="0.25"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  <c r="AA708" s="216"/>
    </row>
    <row r="709" spans="2:27" x14ac:dyDescent="0.25"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  <c r="AA709" s="216"/>
    </row>
    <row r="710" spans="2:27" x14ac:dyDescent="0.25"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</row>
    <row r="711" spans="2:27" x14ac:dyDescent="0.25"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  <c r="AA711" s="216"/>
    </row>
    <row r="712" spans="2:27" x14ac:dyDescent="0.25"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</row>
    <row r="713" spans="2:27" x14ac:dyDescent="0.25"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  <c r="AA713" s="216"/>
    </row>
    <row r="714" spans="2:27" x14ac:dyDescent="0.25"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</row>
    <row r="715" spans="2:27" x14ac:dyDescent="0.25"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  <c r="AA715" s="216"/>
    </row>
    <row r="716" spans="2:27" x14ac:dyDescent="0.25"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</row>
    <row r="717" spans="2:27" x14ac:dyDescent="0.25"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  <c r="AA717" s="216"/>
    </row>
    <row r="718" spans="2:27" x14ac:dyDescent="0.25"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</row>
    <row r="719" spans="2:27" x14ac:dyDescent="0.25"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  <c r="AA719" s="216"/>
    </row>
    <row r="720" spans="2:27" x14ac:dyDescent="0.25"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</row>
    <row r="721" spans="2:27" x14ac:dyDescent="0.25"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  <c r="AA721" s="216"/>
    </row>
    <row r="722" spans="2:27" x14ac:dyDescent="0.25"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</row>
    <row r="723" spans="2:27" x14ac:dyDescent="0.25"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  <c r="AA723" s="216"/>
    </row>
    <row r="724" spans="2:27" x14ac:dyDescent="0.25"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</row>
    <row r="725" spans="2:27" x14ac:dyDescent="0.25"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  <c r="AA725" s="216"/>
    </row>
    <row r="726" spans="2:27" x14ac:dyDescent="0.25"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</row>
    <row r="727" spans="2:27" x14ac:dyDescent="0.25"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  <c r="AA727" s="216"/>
    </row>
    <row r="728" spans="2:27" x14ac:dyDescent="0.25"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</row>
    <row r="729" spans="2:27" x14ac:dyDescent="0.25"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</row>
    <row r="730" spans="2:27" x14ac:dyDescent="0.25"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</row>
    <row r="731" spans="2:27" x14ac:dyDescent="0.25"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  <c r="AA731" s="216"/>
    </row>
    <row r="732" spans="2:27" x14ac:dyDescent="0.25"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</row>
    <row r="733" spans="2:27" x14ac:dyDescent="0.25"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  <c r="AA733" s="216"/>
    </row>
    <row r="734" spans="2:27" x14ac:dyDescent="0.25"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</row>
    <row r="735" spans="2:27" x14ac:dyDescent="0.25"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  <c r="AA735" s="216"/>
    </row>
    <row r="736" spans="2:27" x14ac:dyDescent="0.25"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</row>
    <row r="737" spans="2:27" x14ac:dyDescent="0.25"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  <c r="AA737" s="216"/>
    </row>
    <row r="738" spans="2:27" x14ac:dyDescent="0.25"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</row>
    <row r="739" spans="2:27" x14ac:dyDescent="0.25"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  <c r="AA739" s="216"/>
    </row>
    <row r="740" spans="2:27" x14ac:dyDescent="0.25"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</row>
    <row r="741" spans="2:27" x14ac:dyDescent="0.25"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  <c r="AA741" s="216"/>
    </row>
    <row r="742" spans="2:27" x14ac:dyDescent="0.25"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</row>
    <row r="743" spans="2:27" x14ac:dyDescent="0.25"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  <c r="AA743" s="216"/>
    </row>
    <row r="744" spans="2:27" x14ac:dyDescent="0.25"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</row>
    <row r="745" spans="2:27" x14ac:dyDescent="0.25"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  <c r="AA745" s="216"/>
    </row>
    <row r="746" spans="2:27" x14ac:dyDescent="0.25"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</row>
    <row r="747" spans="2:27" x14ac:dyDescent="0.25"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  <c r="AA747" s="216"/>
    </row>
    <row r="748" spans="2:27" x14ac:dyDescent="0.25"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</row>
    <row r="749" spans="2:27" x14ac:dyDescent="0.25"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  <c r="AA749" s="216"/>
    </row>
    <row r="750" spans="2:27" x14ac:dyDescent="0.25"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</row>
    <row r="751" spans="2:27" x14ac:dyDescent="0.25"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  <c r="AA751" s="216"/>
    </row>
    <row r="752" spans="2:27" x14ac:dyDescent="0.25"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</row>
    <row r="753" spans="2:27" x14ac:dyDescent="0.25"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  <c r="AA753" s="216"/>
    </row>
    <row r="754" spans="2:27" x14ac:dyDescent="0.25"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</row>
    <row r="755" spans="2:27" x14ac:dyDescent="0.25"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  <c r="AA755" s="216"/>
    </row>
    <row r="756" spans="2:27" x14ac:dyDescent="0.25"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</row>
    <row r="757" spans="2:27" x14ac:dyDescent="0.25"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  <c r="AA757" s="216"/>
    </row>
    <row r="758" spans="2:27" x14ac:dyDescent="0.25"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</row>
    <row r="759" spans="2:27" x14ac:dyDescent="0.25"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  <c r="AA759" s="216"/>
    </row>
    <row r="760" spans="2:27" x14ac:dyDescent="0.25"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</row>
    <row r="761" spans="2:27" x14ac:dyDescent="0.25"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  <c r="AA761" s="216"/>
    </row>
    <row r="762" spans="2:27" x14ac:dyDescent="0.25"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</row>
    <row r="763" spans="2:27" x14ac:dyDescent="0.25"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  <c r="AA763" s="216"/>
    </row>
    <row r="764" spans="2:27" x14ac:dyDescent="0.25"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</row>
    <row r="765" spans="2:27" x14ac:dyDescent="0.25"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  <c r="AA765" s="216"/>
    </row>
    <row r="766" spans="2:27" x14ac:dyDescent="0.25"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</row>
    <row r="767" spans="2:27" x14ac:dyDescent="0.25"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  <c r="AA767" s="216"/>
    </row>
    <row r="768" spans="2:27" x14ac:dyDescent="0.25"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</row>
    <row r="769" spans="2:27" x14ac:dyDescent="0.25"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  <c r="AA769" s="216"/>
    </row>
    <row r="770" spans="2:27" x14ac:dyDescent="0.25"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</row>
    <row r="771" spans="2:27" x14ac:dyDescent="0.25"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  <c r="AA771" s="216"/>
    </row>
    <row r="772" spans="2:27" x14ac:dyDescent="0.25"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</row>
    <row r="773" spans="2:27" x14ac:dyDescent="0.25"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  <c r="AA773" s="216"/>
    </row>
    <row r="774" spans="2:27" x14ac:dyDescent="0.25"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</row>
    <row r="775" spans="2:27" x14ac:dyDescent="0.25"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  <c r="AA775" s="216"/>
    </row>
    <row r="776" spans="2:27" x14ac:dyDescent="0.25"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</row>
    <row r="777" spans="2:27" x14ac:dyDescent="0.25"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  <c r="AA777" s="216"/>
    </row>
    <row r="778" spans="2:27" x14ac:dyDescent="0.25"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</row>
    <row r="779" spans="2:27" x14ac:dyDescent="0.25"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  <c r="AA779" s="216"/>
    </row>
    <row r="780" spans="2:27" x14ac:dyDescent="0.25"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</row>
    <row r="781" spans="2:27" x14ac:dyDescent="0.25"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  <c r="AA781" s="216"/>
    </row>
    <row r="782" spans="2:27" x14ac:dyDescent="0.25"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</row>
    <row r="783" spans="2:27" x14ac:dyDescent="0.25"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  <c r="AA783" s="216"/>
    </row>
    <row r="784" spans="2:27" x14ac:dyDescent="0.25"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</row>
    <row r="785" spans="2:27" x14ac:dyDescent="0.25"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  <c r="AA785" s="216"/>
    </row>
    <row r="786" spans="2:27" x14ac:dyDescent="0.25"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</row>
    <row r="787" spans="2:27" x14ac:dyDescent="0.25"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  <c r="AA787" s="216"/>
    </row>
    <row r="788" spans="2:27" x14ac:dyDescent="0.25"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</row>
    <row r="789" spans="2:27" x14ac:dyDescent="0.25"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  <c r="AA789" s="216"/>
    </row>
    <row r="790" spans="2:27" x14ac:dyDescent="0.25"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</row>
    <row r="791" spans="2:27" x14ac:dyDescent="0.25"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  <c r="AA791" s="216"/>
    </row>
    <row r="792" spans="2:27" x14ac:dyDescent="0.25"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</row>
    <row r="793" spans="2:27" x14ac:dyDescent="0.25"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  <c r="AA793" s="216"/>
    </row>
    <row r="794" spans="2:27" x14ac:dyDescent="0.25"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</row>
    <row r="795" spans="2:27" x14ac:dyDescent="0.25"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  <c r="AA795" s="216"/>
    </row>
    <row r="796" spans="2:27" x14ac:dyDescent="0.25"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</row>
    <row r="797" spans="2:27" x14ac:dyDescent="0.25"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  <c r="AA797" s="216"/>
    </row>
    <row r="798" spans="2:27" x14ac:dyDescent="0.25"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</row>
    <row r="799" spans="2:27" x14ac:dyDescent="0.25"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  <c r="AA799" s="216"/>
    </row>
    <row r="800" spans="2:27" x14ac:dyDescent="0.25"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</row>
    <row r="801" spans="2:27" x14ac:dyDescent="0.25"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  <c r="AA801" s="216"/>
    </row>
    <row r="802" spans="2:27" x14ac:dyDescent="0.25"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</row>
    <row r="803" spans="2:27" x14ac:dyDescent="0.25"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  <c r="AA803" s="216"/>
    </row>
    <row r="804" spans="2:27" x14ac:dyDescent="0.25"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</row>
    <row r="805" spans="2:27" x14ac:dyDescent="0.25"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  <c r="AA805" s="216"/>
    </row>
    <row r="806" spans="2:27" x14ac:dyDescent="0.25"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</row>
    <row r="807" spans="2:27" x14ac:dyDescent="0.25"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  <c r="AA807" s="216"/>
    </row>
    <row r="808" spans="2:27" x14ac:dyDescent="0.25"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</row>
    <row r="809" spans="2:27" x14ac:dyDescent="0.25"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  <c r="AA809" s="216"/>
    </row>
    <row r="810" spans="2:27" x14ac:dyDescent="0.25"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</row>
    <row r="811" spans="2:27" x14ac:dyDescent="0.25"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  <c r="AA811" s="216"/>
    </row>
    <row r="812" spans="2:27" x14ac:dyDescent="0.25"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</row>
    <row r="813" spans="2:27" x14ac:dyDescent="0.25"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  <c r="AA813" s="216"/>
    </row>
    <row r="814" spans="2:27" x14ac:dyDescent="0.25"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</row>
    <row r="815" spans="2:27" x14ac:dyDescent="0.25"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  <c r="AA815" s="216"/>
    </row>
    <row r="816" spans="2:27" x14ac:dyDescent="0.25"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</row>
    <row r="817" spans="2:27" x14ac:dyDescent="0.25"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  <c r="AA817" s="216"/>
    </row>
    <row r="818" spans="2:27" x14ac:dyDescent="0.25"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</row>
    <row r="819" spans="2:27" x14ac:dyDescent="0.25"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  <c r="AA819" s="216"/>
    </row>
    <row r="820" spans="2:27" x14ac:dyDescent="0.25"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</row>
    <row r="821" spans="2:27" x14ac:dyDescent="0.25"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  <c r="AA821" s="216"/>
    </row>
    <row r="822" spans="2:27" x14ac:dyDescent="0.25"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</row>
    <row r="823" spans="2:27" x14ac:dyDescent="0.25"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  <c r="AA823" s="216"/>
    </row>
    <row r="824" spans="2:27" x14ac:dyDescent="0.25"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</row>
    <row r="825" spans="2:27" x14ac:dyDescent="0.25"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  <c r="AA825" s="216"/>
    </row>
    <row r="826" spans="2:27" x14ac:dyDescent="0.25"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</row>
    <row r="827" spans="2:27" x14ac:dyDescent="0.25"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  <c r="AA827" s="216"/>
    </row>
    <row r="828" spans="2:27" x14ac:dyDescent="0.25"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</row>
    <row r="829" spans="2:27" x14ac:dyDescent="0.25"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  <c r="AA829" s="216"/>
    </row>
    <row r="830" spans="2:27" x14ac:dyDescent="0.25"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</row>
    <row r="831" spans="2:27" x14ac:dyDescent="0.25"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  <c r="AA831" s="216"/>
    </row>
    <row r="832" spans="2:27" x14ac:dyDescent="0.25"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</row>
    <row r="833" spans="2:27" x14ac:dyDescent="0.25"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  <c r="AA833" s="216"/>
    </row>
    <row r="834" spans="2:27" x14ac:dyDescent="0.25"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</row>
    <row r="835" spans="2:27" x14ac:dyDescent="0.25"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  <c r="AA835" s="216"/>
    </row>
    <row r="836" spans="2:27" x14ac:dyDescent="0.25"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</row>
    <row r="837" spans="2:27" x14ac:dyDescent="0.25"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  <c r="AA837" s="216"/>
    </row>
    <row r="838" spans="2:27" x14ac:dyDescent="0.25"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</row>
    <row r="839" spans="2:27" x14ac:dyDescent="0.25"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  <c r="AA839" s="216"/>
    </row>
    <row r="840" spans="2:27" x14ac:dyDescent="0.25"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</row>
    <row r="841" spans="2:27" x14ac:dyDescent="0.25"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  <c r="AA841" s="216"/>
    </row>
    <row r="842" spans="2:27" x14ac:dyDescent="0.25"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</row>
    <row r="843" spans="2:27" x14ac:dyDescent="0.25"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  <c r="AA843" s="216"/>
    </row>
    <row r="844" spans="2:27" x14ac:dyDescent="0.25"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</row>
    <row r="845" spans="2:27" x14ac:dyDescent="0.25"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  <c r="AA845" s="216"/>
    </row>
    <row r="846" spans="2:27" x14ac:dyDescent="0.25"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</row>
    <row r="847" spans="2:27" x14ac:dyDescent="0.25"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  <c r="AA847" s="216"/>
    </row>
    <row r="848" spans="2:27" x14ac:dyDescent="0.25"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</row>
    <row r="849" spans="2:27" x14ac:dyDescent="0.25"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  <c r="AA849" s="216"/>
    </row>
    <row r="850" spans="2:27" x14ac:dyDescent="0.25"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</row>
    <row r="851" spans="2:27" x14ac:dyDescent="0.25"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  <c r="AA851" s="216"/>
    </row>
    <row r="852" spans="2:27" x14ac:dyDescent="0.25"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</row>
    <row r="853" spans="2:27" x14ac:dyDescent="0.25"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  <c r="AA853" s="216"/>
    </row>
    <row r="854" spans="2:27" x14ac:dyDescent="0.25"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</row>
    <row r="855" spans="2:27" x14ac:dyDescent="0.25"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  <c r="AA855" s="216"/>
    </row>
    <row r="856" spans="2:27" x14ac:dyDescent="0.25"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</row>
    <row r="857" spans="2:27" x14ac:dyDescent="0.25"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  <c r="AA857" s="216"/>
    </row>
    <row r="858" spans="2:27" x14ac:dyDescent="0.25"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</row>
    <row r="859" spans="2:27" x14ac:dyDescent="0.25"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</row>
    <row r="860" spans="2:27" x14ac:dyDescent="0.25"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</row>
    <row r="861" spans="2:27" x14ac:dyDescent="0.25"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  <c r="AA861" s="216"/>
    </row>
    <row r="862" spans="2:27" x14ac:dyDescent="0.25"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</row>
    <row r="863" spans="2:27" x14ac:dyDescent="0.25"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  <c r="AA863" s="216"/>
    </row>
    <row r="864" spans="2:27" x14ac:dyDescent="0.25"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</row>
    <row r="865" spans="2:27" x14ac:dyDescent="0.25"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  <c r="AA865" s="216"/>
    </row>
    <row r="866" spans="2:27" x14ac:dyDescent="0.25"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</row>
    <row r="867" spans="2:27" x14ac:dyDescent="0.25"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  <c r="AA867" s="216"/>
    </row>
    <row r="868" spans="2:27" x14ac:dyDescent="0.25"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</row>
    <row r="869" spans="2:27" x14ac:dyDescent="0.25"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  <c r="AA869" s="216"/>
    </row>
    <row r="870" spans="2:27" x14ac:dyDescent="0.25"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</row>
    <row r="871" spans="2:27" x14ac:dyDescent="0.25"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  <c r="AA871" s="216"/>
    </row>
    <row r="872" spans="2:27" x14ac:dyDescent="0.25"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</row>
    <row r="873" spans="2:27" x14ac:dyDescent="0.25"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  <c r="AA873" s="216"/>
    </row>
    <row r="874" spans="2:27" x14ac:dyDescent="0.25"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</row>
    <row r="875" spans="2:27" x14ac:dyDescent="0.25"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  <c r="AA875" s="216"/>
    </row>
    <row r="876" spans="2:27" x14ac:dyDescent="0.25"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</row>
    <row r="877" spans="2:27" x14ac:dyDescent="0.25"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  <c r="AA877" s="216"/>
    </row>
    <row r="878" spans="2:27" x14ac:dyDescent="0.25"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</row>
    <row r="879" spans="2:27" x14ac:dyDescent="0.25"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  <c r="AA879" s="216"/>
    </row>
    <row r="880" spans="2:27" x14ac:dyDescent="0.25"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</row>
    <row r="881" spans="2:27" x14ac:dyDescent="0.25"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  <c r="AA881" s="216"/>
    </row>
    <row r="882" spans="2:27" x14ac:dyDescent="0.25"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</row>
    <row r="883" spans="2:27" x14ac:dyDescent="0.25"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  <c r="AA883" s="216"/>
    </row>
    <row r="884" spans="2:27" x14ac:dyDescent="0.25"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</row>
    <row r="885" spans="2:27" x14ac:dyDescent="0.25"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  <c r="AA885" s="216"/>
    </row>
    <row r="886" spans="2:27" x14ac:dyDescent="0.25"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</row>
    <row r="887" spans="2:27" x14ac:dyDescent="0.25"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</row>
    <row r="888" spans="2:27" x14ac:dyDescent="0.25"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</row>
    <row r="889" spans="2:27" x14ac:dyDescent="0.25"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  <c r="AA889" s="216"/>
    </row>
    <row r="890" spans="2:27" x14ac:dyDescent="0.25"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</row>
    <row r="891" spans="2:27" x14ac:dyDescent="0.25"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  <c r="AA891" s="216"/>
    </row>
    <row r="892" spans="2:27" x14ac:dyDescent="0.25"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</row>
    <row r="893" spans="2:27" x14ac:dyDescent="0.25"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  <c r="AA893" s="216"/>
    </row>
    <row r="894" spans="2:27" x14ac:dyDescent="0.25"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</row>
    <row r="895" spans="2:27" x14ac:dyDescent="0.25"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  <c r="AA895" s="216"/>
    </row>
    <row r="896" spans="2:27" x14ac:dyDescent="0.25"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</row>
    <row r="897" spans="2:27" x14ac:dyDescent="0.25"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  <c r="AA897" s="216"/>
    </row>
    <row r="898" spans="2:27" x14ac:dyDescent="0.25"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</row>
    <row r="899" spans="2:27" x14ac:dyDescent="0.25"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  <c r="AA899" s="216"/>
    </row>
    <row r="900" spans="2:27" x14ac:dyDescent="0.25"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</row>
    <row r="901" spans="2:27" x14ac:dyDescent="0.25"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  <c r="AA901" s="216"/>
    </row>
    <row r="902" spans="2:27" x14ac:dyDescent="0.25"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</row>
    <row r="903" spans="2:27" x14ac:dyDescent="0.25"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  <c r="AA903" s="216"/>
    </row>
    <row r="904" spans="2:27" x14ac:dyDescent="0.25"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</row>
    <row r="905" spans="2:27" x14ac:dyDescent="0.25"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  <c r="AA905" s="216"/>
    </row>
    <row r="906" spans="2:27" x14ac:dyDescent="0.25"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</row>
    <row r="907" spans="2:27" x14ac:dyDescent="0.25"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  <c r="AA907" s="216"/>
    </row>
    <row r="908" spans="2:27" x14ac:dyDescent="0.25"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</row>
    <row r="909" spans="2:27" x14ac:dyDescent="0.25"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  <c r="AA909" s="216"/>
    </row>
    <row r="910" spans="2:27" x14ac:dyDescent="0.25"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</row>
    <row r="911" spans="2:27" x14ac:dyDescent="0.25"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  <c r="AA911" s="216"/>
    </row>
    <row r="912" spans="2:27" x14ac:dyDescent="0.25"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</row>
    <row r="913" spans="2:27" x14ac:dyDescent="0.25"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  <c r="AA913" s="216"/>
    </row>
    <row r="914" spans="2:27" x14ac:dyDescent="0.25"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</row>
    <row r="915" spans="2:27" x14ac:dyDescent="0.25"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  <c r="AA915" s="216"/>
    </row>
    <row r="916" spans="2:27" x14ac:dyDescent="0.25"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</row>
    <row r="917" spans="2:27" x14ac:dyDescent="0.25"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  <c r="AA917" s="216"/>
    </row>
    <row r="918" spans="2:27" x14ac:dyDescent="0.25"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</row>
    <row r="919" spans="2:27" x14ac:dyDescent="0.25"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  <c r="AA919" s="216"/>
    </row>
    <row r="920" spans="2:27" x14ac:dyDescent="0.25"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</row>
    <row r="921" spans="2:27" x14ac:dyDescent="0.25"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  <c r="AA921" s="216"/>
    </row>
    <row r="922" spans="2:27" x14ac:dyDescent="0.25"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</row>
    <row r="923" spans="2:27" x14ac:dyDescent="0.25"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  <c r="AA923" s="216"/>
    </row>
    <row r="924" spans="2:27" x14ac:dyDescent="0.25"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</row>
    <row r="925" spans="2:27" x14ac:dyDescent="0.25"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  <c r="AA925" s="216"/>
    </row>
    <row r="926" spans="2:27" x14ac:dyDescent="0.25"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</row>
    <row r="927" spans="2:27" x14ac:dyDescent="0.25"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  <c r="AA927" s="216"/>
    </row>
    <row r="928" spans="2:27" x14ac:dyDescent="0.25"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</row>
    <row r="929" spans="2:27" x14ac:dyDescent="0.25"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  <c r="AA929" s="216"/>
    </row>
    <row r="930" spans="2:27" x14ac:dyDescent="0.25"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</row>
    <row r="931" spans="2:27" x14ac:dyDescent="0.25"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  <c r="AA931" s="216"/>
    </row>
    <row r="932" spans="2:27" x14ac:dyDescent="0.25"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</row>
    <row r="933" spans="2:27" x14ac:dyDescent="0.25"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  <c r="AA933" s="216"/>
    </row>
    <row r="934" spans="2:27" x14ac:dyDescent="0.25"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</row>
    <row r="935" spans="2:27" x14ac:dyDescent="0.25"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  <c r="AA935" s="216"/>
    </row>
    <row r="936" spans="2:27" x14ac:dyDescent="0.25"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</row>
    <row r="937" spans="2:27" x14ac:dyDescent="0.25"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  <c r="AA937" s="216"/>
    </row>
    <row r="938" spans="2:27" x14ac:dyDescent="0.25"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</row>
    <row r="939" spans="2:27" x14ac:dyDescent="0.25"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  <c r="AA939" s="216"/>
    </row>
    <row r="940" spans="2:27" x14ac:dyDescent="0.25"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</row>
    <row r="941" spans="2:27" x14ac:dyDescent="0.25"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  <c r="AA941" s="216"/>
    </row>
    <row r="942" spans="2:27" x14ac:dyDescent="0.25"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</row>
    <row r="943" spans="2:27" x14ac:dyDescent="0.25"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  <c r="AA943" s="216"/>
    </row>
    <row r="944" spans="2:27" x14ac:dyDescent="0.25"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</row>
    <row r="945" spans="2:27" x14ac:dyDescent="0.25"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  <c r="AA945" s="216"/>
    </row>
    <row r="946" spans="2:27" x14ac:dyDescent="0.25"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  <c r="AA946" s="216"/>
    </row>
    <row r="947" spans="2:27" x14ac:dyDescent="0.25"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  <c r="AA947" s="216"/>
    </row>
    <row r="948" spans="2:27" x14ac:dyDescent="0.25"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  <c r="AA948" s="216"/>
    </row>
    <row r="949" spans="2:27" x14ac:dyDescent="0.25"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  <c r="AA949" s="216"/>
    </row>
    <row r="950" spans="2:27" x14ac:dyDescent="0.25"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  <c r="AA950" s="216"/>
    </row>
    <row r="951" spans="2:27" x14ac:dyDescent="0.25"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  <c r="AA951" s="216"/>
    </row>
    <row r="952" spans="2:27" x14ac:dyDescent="0.25"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  <c r="AA952" s="216"/>
    </row>
    <row r="953" spans="2:27" x14ac:dyDescent="0.25"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  <c r="AA953" s="216"/>
    </row>
    <row r="954" spans="2:27" x14ac:dyDescent="0.25"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  <c r="AA954" s="216"/>
    </row>
    <row r="955" spans="2:27" x14ac:dyDescent="0.25"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  <c r="AA955" s="216"/>
    </row>
    <row r="956" spans="2:27" x14ac:dyDescent="0.25"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  <c r="AA956" s="216"/>
    </row>
    <row r="957" spans="2:27" x14ac:dyDescent="0.25"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  <c r="AA957" s="216"/>
    </row>
    <row r="958" spans="2:27" x14ac:dyDescent="0.25"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</row>
    <row r="959" spans="2:27" x14ac:dyDescent="0.25"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  <c r="AA959" s="216"/>
    </row>
    <row r="960" spans="2:27" x14ac:dyDescent="0.25"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</row>
    <row r="961" spans="2:27" x14ac:dyDescent="0.25"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  <c r="AA961" s="216"/>
    </row>
    <row r="962" spans="2:27" x14ac:dyDescent="0.25"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</row>
    <row r="963" spans="2:27" x14ac:dyDescent="0.25"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  <c r="AA963" s="216"/>
    </row>
    <row r="964" spans="2:27" x14ac:dyDescent="0.25"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</row>
    <row r="965" spans="2:27" x14ac:dyDescent="0.25"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  <c r="AA965" s="216"/>
    </row>
    <row r="966" spans="2:27" x14ac:dyDescent="0.25"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</row>
    <row r="967" spans="2:27" x14ac:dyDescent="0.25"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  <c r="AA967" s="216"/>
    </row>
    <row r="968" spans="2:27" x14ac:dyDescent="0.25"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</row>
    <row r="969" spans="2:27" x14ac:dyDescent="0.25"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  <c r="AA969" s="216"/>
    </row>
    <row r="970" spans="2:27" x14ac:dyDescent="0.25"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</row>
    <row r="971" spans="2:27" x14ac:dyDescent="0.25"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  <c r="AA971" s="216"/>
    </row>
    <row r="972" spans="2:27" x14ac:dyDescent="0.25"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</row>
    <row r="973" spans="2:27" x14ac:dyDescent="0.25"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  <c r="AA973" s="216"/>
    </row>
    <row r="974" spans="2:27" x14ac:dyDescent="0.25"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</row>
    <row r="975" spans="2:27" x14ac:dyDescent="0.25"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  <c r="AA975" s="216"/>
    </row>
    <row r="976" spans="2:27" x14ac:dyDescent="0.25"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</row>
    <row r="977" spans="2:27" x14ac:dyDescent="0.25"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  <c r="AA977" s="216"/>
    </row>
    <row r="978" spans="2:27" x14ac:dyDescent="0.25"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</row>
    <row r="979" spans="2:27" x14ac:dyDescent="0.25"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  <c r="AA979" s="216"/>
    </row>
    <row r="980" spans="2:27" x14ac:dyDescent="0.25"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</row>
    <row r="981" spans="2:27" x14ac:dyDescent="0.25"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  <c r="AA981" s="216"/>
    </row>
    <row r="982" spans="2:27" x14ac:dyDescent="0.25"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</row>
    <row r="983" spans="2:27" x14ac:dyDescent="0.25"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  <c r="AA983" s="216"/>
    </row>
    <row r="984" spans="2:27" x14ac:dyDescent="0.25"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</row>
    <row r="985" spans="2:27" x14ac:dyDescent="0.25"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  <c r="AA985" s="216"/>
    </row>
    <row r="986" spans="2:27" x14ac:dyDescent="0.25"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</row>
    <row r="987" spans="2:27" x14ac:dyDescent="0.25"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  <c r="AA987" s="216"/>
    </row>
    <row r="988" spans="2:27" x14ac:dyDescent="0.25"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</row>
    <row r="989" spans="2:27" x14ac:dyDescent="0.25"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  <c r="AA989" s="2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CD78-112D-4C00-9AC3-5149F755146F}">
  <sheetPr>
    <outlinePr summaryBelow="0" summaryRight="0"/>
  </sheetPr>
  <dimension ref="B1:AA1002"/>
  <sheetViews>
    <sheetView showGridLines="0" workbookViewId="0">
      <selection activeCell="H29" sqref="H29"/>
    </sheetView>
  </sheetViews>
  <sheetFormatPr defaultColWidth="10.875" defaultRowHeight="15" customHeight="1" x14ac:dyDescent="0.25"/>
  <cols>
    <col min="1" max="2" width="2.375" style="215" customWidth="1"/>
    <col min="3" max="3" width="21.75" style="215" customWidth="1"/>
    <col min="4" max="6" width="7.5" style="215" bestFit="1" customWidth="1"/>
    <col min="7" max="16384" width="10.875" style="215"/>
  </cols>
  <sheetData>
    <row r="1" spans="2:27" s="1" customFormat="1" ht="15.75" x14ac:dyDescent="0.25">
      <c r="B1" s="4"/>
    </row>
    <row r="2" spans="2:27" s="1" customFormat="1" ht="15.75" x14ac:dyDescent="0.25">
      <c r="B2" s="4"/>
    </row>
    <row r="3" spans="2:27" s="1" customFormat="1" ht="26.25" x14ac:dyDescent="0.4">
      <c r="B3" s="4"/>
      <c r="C3" s="3" t="s">
        <v>279</v>
      </c>
    </row>
    <row r="4" spans="2:27" ht="14.25" customHeight="1" x14ac:dyDescent="0.25"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</row>
    <row r="5" spans="2:27" x14ac:dyDescent="0.25">
      <c r="C5" s="260"/>
      <c r="D5" s="261" t="s">
        <v>270</v>
      </c>
      <c r="E5" s="261" t="s">
        <v>271</v>
      </c>
      <c r="F5" s="262" t="s">
        <v>272</v>
      </c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</row>
    <row r="6" spans="2:27" x14ac:dyDescent="0.25">
      <c r="C6" s="256"/>
      <c r="D6" s="263" t="s">
        <v>273</v>
      </c>
      <c r="E6" s="263" t="s">
        <v>273</v>
      </c>
      <c r="F6" s="264" t="s">
        <v>273</v>
      </c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</row>
    <row r="7" spans="2:27" x14ac:dyDescent="0.25">
      <c r="C7" s="258" t="s">
        <v>292</v>
      </c>
      <c r="D7" s="265">
        <v>32089.569808565575</v>
      </c>
      <c r="E7" s="265">
        <v>33957.796421264611</v>
      </c>
      <c r="F7" s="266">
        <v>27949.449978823122</v>
      </c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</row>
    <row r="8" spans="2:27" x14ac:dyDescent="0.25">
      <c r="C8" s="267" t="s">
        <v>274</v>
      </c>
      <c r="D8" s="302">
        <v>0.10522575013400733</v>
      </c>
      <c r="E8" s="302">
        <v>0.126</v>
      </c>
      <c r="F8" s="313">
        <f>'DCF model'!O28</f>
        <v>4.7881270048242636E-2</v>
      </c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</row>
    <row r="9" spans="2:27" x14ac:dyDescent="0.25">
      <c r="C9" s="268"/>
      <c r="D9" s="305"/>
      <c r="E9" s="305"/>
      <c r="F9" s="30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</row>
    <row r="10" spans="2:27" x14ac:dyDescent="0.25">
      <c r="C10" s="258" t="s">
        <v>23</v>
      </c>
      <c r="D10" s="265">
        <v>12857.968903057703</v>
      </c>
      <c r="E10" s="265">
        <v>14286.876005382237</v>
      </c>
      <c r="F10" s="266">
        <v>10079.157955256018</v>
      </c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</row>
    <row r="11" spans="2:27" x14ac:dyDescent="0.25">
      <c r="C11" s="267" t="s">
        <v>252</v>
      </c>
      <c r="D11" s="303">
        <f t="shared" ref="D11:F11" si="0">D10/D$7</f>
        <v>0.40068997433632042</v>
      </c>
      <c r="E11" s="269">
        <f t="shared" si="0"/>
        <v>0.42072447305313648</v>
      </c>
      <c r="F11" s="270">
        <f t="shared" si="0"/>
        <v>0.36062097690268841</v>
      </c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</row>
    <row r="12" spans="2:27" x14ac:dyDescent="0.25">
      <c r="C12" s="268"/>
      <c r="D12" s="307"/>
      <c r="E12" s="307"/>
      <c r="F12" s="308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</row>
    <row r="13" spans="2:27" x14ac:dyDescent="0.25">
      <c r="C13" s="258" t="s">
        <v>263</v>
      </c>
      <c r="D13" s="271">
        <v>9882.8129039181131</v>
      </c>
      <c r="E13" s="271">
        <v>10999.045065777336</v>
      </c>
      <c r="F13" s="272">
        <v>7907.0453504505576</v>
      </c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</row>
    <row r="14" spans="2:27" x14ac:dyDescent="0.25">
      <c r="C14" s="267" t="s">
        <v>252</v>
      </c>
      <c r="D14" s="269">
        <f t="shared" ref="D14:F14" si="1">D13/D$7</f>
        <v>0.30797586140528821</v>
      </c>
      <c r="E14" s="269">
        <f t="shared" si="1"/>
        <v>0.32390338081212056</v>
      </c>
      <c r="F14" s="270">
        <f t="shared" si="1"/>
        <v>0.28290522197902307</v>
      </c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</row>
    <row r="15" spans="2:27" x14ac:dyDescent="0.25">
      <c r="C15" s="267" t="s">
        <v>275</v>
      </c>
      <c r="D15" s="269">
        <f t="shared" ref="D15:F15" si="2">D13/D10</f>
        <v>0.76861384394606214</v>
      </c>
      <c r="E15" s="269">
        <f t="shared" si="2"/>
        <v>0.76987054844136049</v>
      </c>
      <c r="F15" s="270">
        <f t="shared" si="2"/>
        <v>0.7844946359162116</v>
      </c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</row>
    <row r="16" spans="2:27" ht="14.25" customHeight="1" x14ac:dyDescent="0.25">
      <c r="C16" s="268"/>
      <c r="D16" s="305"/>
      <c r="E16" s="305"/>
      <c r="F16" s="30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</row>
    <row r="17" spans="2:27" x14ac:dyDescent="0.25">
      <c r="C17" s="310" t="s">
        <v>116</v>
      </c>
      <c r="D17" s="311">
        <v>127867.37582428171</v>
      </c>
      <c r="E17" s="311">
        <v>157045.76072565551</v>
      </c>
      <c r="F17" s="312">
        <v>91770.449204265402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</row>
    <row r="18" spans="2:27" x14ac:dyDescent="0.25">
      <c r="C18" s="314" t="s">
        <v>267</v>
      </c>
      <c r="D18" s="316">
        <v>-779</v>
      </c>
      <c r="E18" s="316">
        <v>-779</v>
      </c>
      <c r="F18" s="317">
        <v>-779</v>
      </c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</row>
    <row r="19" spans="2:27" x14ac:dyDescent="0.25">
      <c r="C19" s="310" t="s">
        <v>254</v>
      </c>
      <c r="D19" s="311">
        <v>127088.37582428171</v>
      </c>
      <c r="E19" s="311">
        <f>E17-E18</f>
        <v>157824.76072565551</v>
      </c>
      <c r="F19" s="312">
        <f>F17+F18</f>
        <v>90991.449204265402</v>
      </c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</row>
    <row r="20" spans="2:27" x14ac:dyDescent="0.25">
      <c r="C20" s="256" t="s">
        <v>261</v>
      </c>
      <c r="D20" s="324">
        <v>391.58082205433504</v>
      </c>
      <c r="E20" s="324">
        <v>391.58082205433504</v>
      </c>
      <c r="F20" s="325">
        <v>413.54143379999999</v>
      </c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</row>
    <row r="21" spans="2:27" x14ac:dyDescent="0.25">
      <c r="C21" s="257" t="s">
        <v>276</v>
      </c>
      <c r="D21" s="304">
        <f t="shared" ref="D21:F21" si="3">D19/D20</f>
        <v>324.55209414379124</v>
      </c>
      <c r="E21" s="304">
        <f t="shared" si="3"/>
        <v>403.04517442316421</v>
      </c>
      <c r="F21" s="315">
        <f t="shared" si="3"/>
        <v>220.02982474610118</v>
      </c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</row>
    <row r="22" spans="2:27" x14ac:dyDescent="0.25">
      <c r="C22" s="258"/>
      <c r="D22" s="305"/>
      <c r="E22" s="305"/>
      <c r="F22" s="30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</row>
    <row r="23" spans="2:27" x14ac:dyDescent="0.25">
      <c r="C23" s="258" t="s">
        <v>255</v>
      </c>
      <c r="D23" s="321">
        <f ca="1">D21/Valuation!$D$6-1</f>
        <v>0.27706025869123807</v>
      </c>
      <c r="E23" s="321">
        <f ca="1">E21/Valuation!$D$6-1</f>
        <v>0.58591789731315114</v>
      </c>
      <c r="F23" s="323">
        <f ca="1">F21/Valuation!$D$6-1</f>
        <v>-0.13421805010584242</v>
      </c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</row>
    <row r="24" spans="2:27" x14ac:dyDescent="0.25">
      <c r="C24" s="257" t="s">
        <v>269</v>
      </c>
      <c r="D24" s="320">
        <f t="shared" ref="D24:F24" ca="1" si="4">(1+D23)^(1/3)-1</f>
        <v>8.49351922304169E-2</v>
      </c>
      <c r="E24" s="320">
        <f t="shared" ca="1" si="4"/>
        <v>0.16616561910887451</v>
      </c>
      <c r="F24" s="322">
        <f t="shared" ca="1" si="4"/>
        <v>-4.690503393335832E-2</v>
      </c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</row>
    <row r="25" spans="2:27" x14ac:dyDescent="0.25">
      <c r="C25" s="256" t="s">
        <v>277</v>
      </c>
      <c r="D25" s="273">
        <f t="shared" ref="D25:E25" ca="1" si="5">-D23/$F$23</f>
        <v>2.0642548336289517</v>
      </c>
      <c r="E25" s="273">
        <f t="shared" ca="1" si="5"/>
        <v>4.3654180406517957</v>
      </c>
      <c r="F25" s="309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</row>
    <row r="26" spans="2:27" x14ac:dyDescent="0.25">
      <c r="B26" s="222"/>
      <c r="C26" s="222"/>
      <c r="D26" s="222"/>
      <c r="E26" s="222"/>
      <c r="F26" s="222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</row>
    <row r="27" spans="2:27" x14ac:dyDescent="0.25"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</row>
    <row r="28" spans="2:27" x14ac:dyDescent="0.25"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</row>
    <row r="29" spans="2:27" x14ac:dyDescent="0.25"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</row>
    <row r="30" spans="2:27" x14ac:dyDescent="0.25"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</row>
    <row r="31" spans="2:27" x14ac:dyDescent="0.25"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</row>
    <row r="32" spans="2:27" x14ac:dyDescent="0.25"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</row>
    <row r="33" spans="2:27" x14ac:dyDescent="0.25"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</row>
    <row r="34" spans="2:27" x14ac:dyDescent="0.25"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</row>
    <row r="35" spans="2:27" x14ac:dyDescent="0.25"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</row>
    <row r="36" spans="2:27" x14ac:dyDescent="0.25"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</row>
    <row r="37" spans="2:27" x14ac:dyDescent="0.25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</row>
    <row r="38" spans="2:27" x14ac:dyDescent="0.25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</row>
    <row r="39" spans="2:27" x14ac:dyDescent="0.25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</row>
    <row r="40" spans="2:27" x14ac:dyDescent="0.25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</row>
    <row r="41" spans="2:27" x14ac:dyDescent="0.25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</row>
    <row r="42" spans="2:27" x14ac:dyDescent="0.25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</row>
    <row r="43" spans="2:27" x14ac:dyDescent="0.25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</row>
    <row r="44" spans="2:27" x14ac:dyDescent="0.25"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</row>
    <row r="45" spans="2:27" x14ac:dyDescent="0.25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</row>
    <row r="46" spans="2:27" x14ac:dyDescent="0.25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</row>
    <row r="47" spans="2:27" x14ac:dyDescent="0.25"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</row>
    <row r="48" spans="2:27" x14ac:dyDescent="0.25"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</row>
    <row r="49" spans="2:27" x14ac:dyDescent="0.25"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</row>
    <row r="50" spans="2:27" x14ac:dyDescent="0.25"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</row>
    <row r="51" spans="2:27" x14ac:dyDescent="0.25"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</row>
    <row r="52" spans="2:27" x14ac:dyDescent="0.25"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</row>
    <row r="53" spans="2:27" x14ac:dyDescent="0.25"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</row>
    <row r="54" spans="2:27" x14ac:dyDescent="0.25"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</row>
    <row r="55" spans="2:27" x14ac:dyDescent="0.25"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</row>
    <row r="56" spans="2:27" x14ac:dyDescent="0.25"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</row>
    <row r="57" spans="2:27" x14ac:dyDescent="0.25"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</row>
    <row r="58" spans="2:27" x14ac:dyDescent="0.25"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</row>
    <row r="59" spans="2:27" x14ac:dyDescent="0.25"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</row>
    <row r="60" spans="2:27" x14ac:dyDescent="0.25"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</row>
    <row r="61" spans="2:27" x14ac:dyDescent="0.25"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</row>
    <row r="62" spans="2:27" x14ac:dyDescent="0.25"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</row>
    <row r="63" spans="2:27" x14ac:dyDescent="0.25"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</row>
    <row r="64" spans="2:27" x14ac:dyDescent="0.25"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</row>
    <row r="65" spans="2:27" x14ac:dyDescent="0.25"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</row>
    <row r="66" spans="2:27" x14ac:dyDescent="0.25"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</row>
    <row r="67" spans="2:27" x14ac:dyDescent="0.25"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</row>
    <row r="68" spans="2:27" x14ac:dyDescent="0.25"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</row>
    <row r="69" spans="2:27" x14ac:dyDescent="0.25"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</row>
    <row r="70" spans="2:27" x14ac:dyDescent="0.25"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</row>
    <row r="71" spans="2:27" x14ac:dyDescent="0.25"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</row>
    <row r="72" spans="2:27" x14ac:dyDescent="0.25"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</row>
    <row r="73" spans="2:27" x14ac:dyDescent="0.25"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</row>
    <row r="74" spans="2:27" x14ac:dyDescent="0.25"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</row>
    <row r="75" spans="2:27" x14ac:dyDescent="0.25"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</row>
    <row r="76" spans="2:27" x14ac:dyDescent="0.25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</row>
    <row r="77" spans="2:27" x14ac:dyDescent="0.25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</row>
    <row r="78" spans="2:27" x14ac:dyDescent="0.25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</row>
    <row r="79" spans="2:27" x14ac:dyDescent="0.25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</row>
    <row r="80" spans="2:27" x14ac:dyDescent="0.25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</row>
    <row r="81" spans="2:27" x14ac:dyDescent="0.25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</row>
    <row r="82" spans="2:27" x14ac:dyDescent="0.25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</row>
    <row r="83" spans="2:27" x14ac:dyDescent="0.25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</row>
    <row r="84" spans="2:27" x14ac:dyDescent="0.25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</row>
    <row r="85" spans="2:27" x14ac:dyDescent="0.25"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</row>
    <row r="86" spans="2:27" x14ac:dyDescent="0.25"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</row>
    <row r="87" spans="2:27" x14ac:dyDescent="0.25"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</row>
    <row r="88" spans="2:27" x14ac:dyDescent="0.25"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</row>
    <row r="89" spans="2:27" x14ac:dyDescent="0.25"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</row>
    <row r="90" spans="2:27" x14ac:dyDescent="0.25"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</row>
    <row r="91" spans="2:27" x14ac:dyDescent="0.25"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</row>
    <row r="92" spans="2:27" x14ac:dyDescent="0.25"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</row>
    <row r="93" spans="2:27" x14ac:dyDescent="0.25"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</row>
    <row r="94" spans="2:27" x14ac:dyDescent="0.25"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</row>
    <row r="95" spans="2:27" x14ac:dyDescent="0.25"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</row>
    <row r="96" spans="2:27" x14ac:dyDescent="0.25"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</row>
    <row r="97" spans="2:27" x14ac:dyDescent="0.25"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</row>
    <row r="98" spans="2:27" x14ac:dyDescent="0.25"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</row>
    <row r="99" spans="2:27" x14ac:dyDescent="0.25"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</row>
    <row r="100" spans="2:27" x14ac:dyDescent="0.25"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</row>
    <row r="101" spans="2:27" x14ac:dyDescent="0.25"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</row>
    <row r="102" spans="2:27" x14ac:dyDescent="0.25"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</row>
    <row r="103" spans="2:27" x14ac:dyDescent="0.25"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</row>
    <row r="104" spans="2:27" x14ac:dyDescent="0.25"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</row>
    <row r="105" spans="2:27" x14ac:dyDescent="0.25"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</row>
    <row r="106" spans="2:27" x14ac:dyDescent="0.25"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</row>
    <row r="107" spans="2:27" x14ac:dyDescent="0.25"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</row>
    <row r="108" spans="2:27" x14ac:dyDescent="0.25"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</row>
    <row r="109" spans="2:27" x14ac:dyDescent="0.25"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</row>
    <row r="110" spans="2:27" x14ac:dyDescent="0.25"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</row>
    <row r="111" spans="2:27" x14ac:dyDescent="0.25"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</row>
    <row r="112" spans="2:27" x14ac:dyDescent="0.25"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</row>
    <row r="113" spans="2:27" x14ac:dyDescent="0.25"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</row>
    <row r="114" spans="2:27" x14ac:dyDescent="0.25"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</row>
    <row r="115" spans="2:27" x14ac:dyDescent="0.25"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</row>
    <row r="116" spans="2:27" x14ac:dyDescent="0.25"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</row>
    <row r="117" spans="2:27" x14ac:dyDescent="0.25"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</row>
    <row r="118" spans="2:27" x14ac:dyDescent="0.25"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</row>
    <row r="119" spans="2:27" x14ac:dyDescent="0.25"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</row>
    <row r="120" spans="2:27" x14ac:dyDescent="0.25"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</row>
    <row r="121" spans="2:27" x14ac:dyDescent="0.25"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</row>
    <row r="122" spans="2:27" x14ac:dyDescent="0.25"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</row>
    <row r="123" spans="2:27" x14ac:dyDescent="0.25"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</row>
    <row r="124" spans="2:27" x14ac:dyDescent="0.25"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</row>
    <row r="125" spans="2:27" x14ac:dyDescent="0.25"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</row>
    <row r="126" spans="2:27" x14ac:dyDescent="0.25"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</row>
    <row r="127" spans="2:27" x14ac:dyDescent="0.25"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</row>
    <row r="128" spans="2:27" x14ac:dyDescent="0.25"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</row>
    <row r="129" spans="2:27" x14ac:dyDescent="0.25"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</row>
    <row r="130" spans="2:27" x14ac:dyDescent="0.25"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</row>
    <row r="131" spans="2:27" x14ac:dyDescent="0.25"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</row>
    <row r="132" spans="2:27" x14ac:dyDescent="0.25"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</row>
    <row r="133" spans="2:27" x14ac:dyDescent="0.25"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</row>
    <row r="134" spans="2:27" x14ac:dyDescent="0.25"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</row>
    <row r="135" spans="2:27" x14ac:dyDescent="0.25"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</row>
    <row r="136" spans="2:27" x14ac:dyDescent="0.25"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</row>
    <row r="137" spans="2:27" x14ac:dyDescent="0.25"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</row>
    <row r="138" spans="2:27" x14ac:dyDescent="0.25"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</row>
    <row r="139" spans="2:27" x14ac:dyDescent="0.25"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</row>
    <row r="140" spans="2:27" x14ac:dyDescent="0.25"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</row>
    <row r="141" spans="2:27" x14ac:dyDescent="0.25"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</row>
    <row r="142" spans="2:27" x14ac:dyDescent="0.25"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</row>
    <row r="143" spans="2:27" x14ac:dyDescent="0.25"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</row>
    <row r="144" spans="2:27" x14ac:dyDescent="0.25"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</row>
    <row r="145" spans="2:27" x14ac:dyDescent="0.25"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</row>
    <row r="146" spans="2:27" x14ac:dyDescent="0.25"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</row>
    <row r="147" spans="2:27" x14ac:dyDescent="0.25"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</row>
    <row r="148" spans="2:27" x14ac:dyDescent="0.25"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</row>
    <row r="149" spans="2:27" x14ac:dyDescent="0.25"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</row>
    <row r="150" spans="2:27" x14ac:dyDescent="0.25"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</row>
    <row r="151" spans="2:27" x14ac:dyDescent="0.25"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</row>
    <row r="152" spans="2:27" x14ac:dyDescent="0.25"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</row>
    <row r="153" spans="2:27" x14ac:dyDescent="0.25"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</row>
    <row r="154" spans="2:27" x14ac:dyDescent="0.25"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</row>
    <row r="155" spans="2:27" x14ac:dyDescent="0.25"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</row>
    <row r="156" spans="2:27" x14ac:dyDescent="0.25"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</row>
    <row r="157" spans="2:27" x14ac:dyDescent="0.25"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</row>
    <row r="158" spans="2:27" x14ac:dyDescent="0.25"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</row>
    <row r="159" spans="2:27" x14ac:dyDescent="0.25"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</row>
    <row r="160" spans="2:27" x14ac:dyDescent="0.25"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</row>
    <row r="161" spans="2:27" x14ac:dyDescent="0.25"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</row>
    <row r="162" spans="2:27" x14ac:dyDescent="0.25"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</row>
    <row r="163" spans="2:27" x14ac:dyDescent="0.25"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</row>
    <row r="164" spans="2:27" x14ac:dyDescent="0.25"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</row>
    <row r="165" spans="2:27" x14ac:dyDescent="0.25"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</row>
    <row r="166" spans="2:27" x14ac:dyDescent="0.25"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</row>
    <row r="167" spans="2:27" x14ac:dyDescent="0.25"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</row>
    <row r="168" spans="2:27" x14ac:dyDescent="0.25"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</row>
    <row r="169" spans="2:27" x14ac:dyDescent="0.25"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</row>
    <row r="170" spans="2:27" x14ac:dyDescent="0.25"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</row>
    <row r="171" spans="2:27" x14ac:dyDescent="0.25"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</row>
    <row r="172" spans="2:27" x14ac:dyDescent="0.25"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</row>
    <row r="173" spans="2:27" x14ac:dyDescent="0.25"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</row>
    <row r="174" spans="2:27" x14ac:dyDescent="0.25"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</row>
    <row r="175" spans="2:27" x14ac:dyDescent="0.25"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</row>
    <row r="176" spans="2:27" x14ac:dyDescent="0.25"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</row>
    <row r="177" spans="2:27" x14ac:dyDescent="0.25"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</row>
    <row r="178" spans="2:27" x14ac:dyDescent="0.25"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</row>
    <row r="179" spans="2:27" x14ac:dyDescent="0.25"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</row>
    <row r="180" spans="2:27" x14ac:dyDescent="0.25"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</row>
    <row r="181" spans="2:27" x14ac:dyDescent="0.25"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</row>
    <row r="182" spans="2:27" x14ac:dyDescent="0.25"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</row>
    <row r="183" spans="2:27" x14ac:dyDescent="0.25"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</row>
    <row r="184" spans="2:27" x14ac:dyDescent="0.25"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</row>
    <row r="185" spans="2:27" x14ac:dyDescent="0.25"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</row>
    <row r="186" spans="2:27" x14ac:dyDescent="0.25"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</row>
    <row r="187" spans="2:27" x14ac:dyDescent="0.25"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</row>
    <row r="188" spans="2:27" x14ac:dyDescent="0.25"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</row>
    <row r="189" spans="2:27" x14ac:dyDescent="0.25"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</row>
    <row r="190" spans="2:27" x14ac:dyDescent="0.25"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</row>
    <row r="191" spans="2:27" x14ac:dyDescent="0.25"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</row>
    <row r="192" spans="2:27" x14ac:dyDescent="0.25"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</row>
    <row r="193" spans="2:27" x14ac:dyDescent="0.25"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</row>
    <row r="194" spans="2:27" x14ac:dyDescent="0.25"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</row>
    <row r="195" spans="2:27" x14ac:dyDescent="0.25"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</row>
    <row r="196" spans="2:27" x14ac:dyDescent="0.25"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</row>
    <row r="197" spans="2:27" x14ac:dyDescent="0.25"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</row>
    <row r="198" spans="2:27" x14ac:dyDescent="0.25"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</row>
    <row r="199" spans="2:27" x14ac:dyDescent="0.25"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</row>
    <row r="200" spans="2:27" x14ac:dyDescent="0.25"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</row>
    <row r="201" spans="2:27" x14ac:dyDescent="0.25"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</row>
    <row r="202" spans="2:27" x14ac:dyDescent="0.25"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</row>
    <row r="203" spans="2:27" x14ac:dyDescent="0.25"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</row>
    <row r="204" spans="2:27" x14ac:dyDescent="0.25"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</row>
    <row r="205" spans="2:27" x14ac:dyDescent="0.25"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</row>
    <row r="206" spans="2:27" x14ac:dyDescent="0.25"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</row>
    <row r="207" spans="2:27" x14ac:dyDescent="0.25"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</row>
    <row r="208" spans="2:27" x14ac:dyDescent="0.25"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</row>
    <row r="209" spans="2:27" x14ac:dyDescent="0.25"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</row>
    <row r="210" spans="2:27" x14ac:dyDescent="0.25"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</row>
    <row r="211" spans="2:27" x14ac:dyDescent="0.25"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</row>
    <row r="212" spans="2:27" x14ac:dyDescent="0.25"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</row>
    <row r="213" spans="2:27" x14ac:dyDescent="0.25"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</row>
    <row r="214" spans="2:27" x14ac:dyDescent="0.25"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</row>
    <row r="215" spans="2:27" x14ac:dyDescent="0.25"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</row>
    <row r="216" spans="2:27" x14ac:dyDescent="0.25"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</row>
    <row r="217" spans="2:27" x14ac:dyDescent="0.25"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</row>
    <row r="218" spans="2:27" x14ac:dyDescent="0.25"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</row>
    <row r="219" spans="2:27" x14ac:dyDescent="0.25"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</row>
    <row r="220" spans="2:27" x14ac:dyDescent="0.25"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</row>
    <row r="221" spans="2:27" x14ac:dyDescent="0.25"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</row>
    <row r="222" spans="2:27" x14ac:dyDescent="0.25"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</row>
    <row r="223" spans="2:27" x14ac:dyDescent="0.25"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</row>
    <row r="224" spans="2:27" x14ac:dyDescent="0.25"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</row>
    <row r="225" spans="2:27" x14ac:dyDescent="0.25"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</row>
    <row r="226" spans="2:27" x14ac:dyDescent="0.25"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</row>
    <row r="227" spans="2:27" x14ac:dyDescent="0.25"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</row>
    <row r="228" spans="2:27" x14ac:dyDescent="0.25"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</row>
    <row r="229" spans="2:27" x14ac:dyDescent="0.25"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</row>
    <row r="230" spans="2:27" x14ac:dyDescent="0.25"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</row>
    <row r="231" spans="2:27" x14ac:dyDescent="0.25"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</row>
    <row r="232" spans="2:27" x14ac:dyDescent="0.25"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</row>
    <row r="233" spans="2:27" x14ac:dyDescent="0.25"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</row>
    <row r="234" spans="2:27" x14ac:dyDescent="0.25"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</row>
    <row r="235" spans="2:27" x14ac:dyDescent="0.25"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</row>
    <row r="236" spans="2:27" x14ac:dyDescent="0.25"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</row>
    <row r="237" spans="2:27" x14ac:dyDescent="0.25"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</row>
    <row r="238" spans="2:27" x14ac:dyDescent="0.25"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</row>
    <row r="239" spans="2:27" x14ac:dyDescent="0.25"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</row>
    <row r="240" spans="2:27" x14ac:dyDescent="0.25"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</row>
    <row r="241" spans="2:27" x14ac:dyDescent="0.25"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</row>
    <row r="242" spans="2:27" x14ac:dyDescent="0.25"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</row>
    <row r="243" spans="2:27" x14ac:dyDescent="0.25"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</row>
    <row r="244" spans="2:27" x14ac:dyDescent="0.25"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</row>
    <row r="245" spans="2:27" x14ac:dyDescent="0.25"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</row>
    <row r="246" spans="2:27" x14ac:dyDescent="0.25"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</row>
    <row r="247" spans="2:27" x14ac:dyDescent="0.25"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</row>
    <row r="248" spans="2:27" x14ac:dyDescent="0.25"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</row>
    <row r="249" spans="2:27" x14ac:dyDescent="0.25"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</row>
    <row r="250" spans="2:27" x14ac:dyDescent="0.25"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</row>
    <row r="251" spans="2:27" x14ac:dyDescent="0.25"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</row>
    <row r="252" spans="2:27" x14ac:dyDescent="0.25"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</row>
    <row r="253" spans="2:27" x14ac:dyDescent="0.25"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</row>
    <row r="254" spans="2:27" x14ac:dyDescent="0.25"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</row>
    <row r="255" spans="2:27" x14ac:dyDescent="0.25"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</row>
    <row r="256" spans="2:27" x14ac:dyDescent="0.25"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</row>
    <row r="257" spans="2:27" x14ac:dyDescent="0.25"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</row>
    <row r="258" spans="2:27" x14ac:dyDescent="0.25"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</row>
    <row r="259" spans="2:27" x14ac:dyDescent="0.25"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</row>
    <row r="260" spans="2:27" x14ac:dyDescent="0.25"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</row>
    <row r="261" spans="2:27" x14ac:dyDescent="0.25"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</row>
    <row r="262" spans="2:27" x14ac:dyDescent="0.25"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</row>
    <row r="263" spans="2:27" x14ac:dyDescent="0.25"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</row>
    <row r="264" spans="2:27" x14ac:dyDescent="0.25"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</row>
    <row r="265" spans="2:27" x14ac:dyDescent="0.25"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</row>
    <row r="266" spans="2:27" x14ac:dyDescent="0.25"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</row>
    <row r="267" spans="2:27" x14ac:dyDescent="0.25"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</row>
    <row r="268" spans="2:27" x14ac:dyDescent="0.25"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</row>
    <row r="269" spans="2:27" x14ac:dyDescent="0.25"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</row>
    <row r="270" spans="2:27" x14ac:dyDescent="0.25"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</row>
    <row r="271" spans="2:27" x14ac:dyDescent="0.25"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</row>
    <row r="272" spans="2:27" x14ac:dyDescent="0.25"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</row>
    <row r="273" spans="2:27" x14ac:dyDescent="0.25"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</row>
    <row r="274" spans="2:27" x14ac:dyDescent="0.25"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</row>
    <row r="275" spans="2:27" x14ac:dyDescent="0.25"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</row>
    <row r="276" spans="2:27" x14ac:dyDescent="0.25"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</row>
    <row r="277" spans="2:27" x14ac:dyDescent="0.25"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</row>
    <row r="278" spans="2:27" x14ac:dyDescent="0.25"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  <c r="AA278" s="216"/>
    </row>
    <row r="279" spans="2:27" x14ac:dyDescent="0.25"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  <c r="AA279" s="216"/>
    </row>
    <row r="280" spans="2:27" x14ac:dyDescent="0.25"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  <c r="AA280" s="216"/>
    </row>
    <row r="281" spans="2:27" x14ac:dyDescent="0.25"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  <c r="AA281" s="216"/>
    </row>
    <row r="282" spans="2:27" x14ac:dyDescent="0.25"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</row>
    <row r="283" spans="2:27" x14ac:dyDescent="0.25"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  <c r="AA283" s="216"/>
    </row>
    <row r="284" spans="2:27" x14ac:dyDescent="0.25"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  <c r="AA284" s="216"/>
    </row>
    <row r="285" spans="2:27" x14ac:dyDescent="0.25"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</row>
    <row r="286" spans="2:27" x14ac:dyDescent="0.25"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</row>
    <row r="287" spans="2:27" x14ac:dyDescent="0.25"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</row>
    <row r="288" spans="2:27" x14ac:dyDescent="0.25"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</row>
    <row r="289" spans="2:27" x14ac:dyDescent="0.25"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  <c r="AA289" s="216"/>
    </row>
    <row r="290" spans="2:27" x14ac:dyDescent="0.25"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  <c r="AA290" s="216"/>
    </row>
    <row r="291" spans="2:27" x14ac:dyDescent="0.25"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  <c r="AA291" s="216"/>
    </row>
    <row r="292" spans="2:27" x14ac:dyDescent="0.25"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  <c r="AA292" s="216"/>
    </row>
    <row r="293" spans="2:27" x14ac:dyDescent="0.25"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  <c r="AA293" s="216"/>
    </row>
    <row r="294" spans="2:27" x14ac:dyDescent="0.25"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  <c r="AA294" s="216"/>
    </row>
    <row r="295" spans="2:27" x14ac:dyDescent="0.25"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  <c r="AA295" s="216"/>
    </row>
    <row r="296" spans="2:27" x14ac:dyDescent="0.25"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  <c r="AA296" s="216"/>
    </row>
    <row r="297" spans="2:27" x14ac:dyDescent="0.25"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  <c r="AA297" s="216"/>
    </row>
    <row r="298" spans="2:27" x14ac:dyDescent="0.25"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  <c r="AA298" s="216"/>
    </row>
    <row r="299" spans="2:27" x14ac:dyDescent="0.25"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</row>
    <row r="300" spans="2:27" x14ac:dyDescent="0.25"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  <c r="AA300" s="216"/>
    </row>
    <row r="301" spans="2:27" x14ac:dyDescent="0.25"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  <c r="AA301" s="216"/>
    </row>
    <row r="302" spans="2:27" x14ac:dyDescent="0.25"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</row>
    <row r="303" spans="2:27" x14ac:dyDescent="0.25"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  <c r="AA303" s="216"/>
    </row>
    <row r="304" spans="2:27" x14ac:dyDescent="0.25"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</row>
    <row r="305" spans="2:27" x14ac:dyDescent="0.25"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  <c r="AA305" s="216"/>
    </row>
    <row r="306" spans="2:27" x14ac:dyDescent="0.25"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</row>
    <row r="307" spans="2:27" x14ac:dyDescent="0.25"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  <c r="AA307" s="216"/>
    </row>
    <row r="308" spans="2:27" x14ac:dyDescent="0.25"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</row>
    <row r="309" spans="2:27" x14ac:dyDescent="0.25"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  <c r="AA309" s="216"/>
    </row>
    <row r="310" spans="2:27" x14ac:dyDescent="0.25"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</row>
    <row r="311" spans="2:27" x14ac:dyDescent="0.25"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  <c r="AA311" s="216"/>
    </row>
    <row r="312" spans="2:27" x14ac:dyDescent="0.25"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</row>
    <row r="313" spans="2:27" x14ac:dyDescent="0.25"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  <c r="AA313" s="216"/>
    </row>
    <row r="314" spans="2:27" x14ac:dyDescent="0.25"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  <c r="AA314" s="216"/>
    </row>
    <row r="315" spans="2:27" x14ac:dyDescent="0.25"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  <c r="AA315" s="216"/>
    </row>
    <row r="316" spans="2:27" x14ac:dyDescent="0.25"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  <c r="AA316" s="216"/>
    </row>
    <row r="317" spans="2:27" x14ac:dyDescent="0.25"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  <c r="AA317" s="216"/>
    </row>
    <row r="318" spans="2:27" x14ac:dyDescent="0.25"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  <c r="AA318" s="216"/>
    </row>
    <row r="319" spans="2:27" x14ac:dyDescent="0.25"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  <c r="AA319" s="216"/>
    </row>
    <row r="320" spans="2:27" x14ac:dyDescent="0.25"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  <c r="AA320" s="216"/>
    </row>
    <row r="321" spans="2:27" x14ac:dyDescent="0.25"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  <c r="AA321" s="216"/>
    </row>
    <row r="322" spans="2:27" x14ac:dyDescent="0.25"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</row>
    <row r="323" spans="2:27" x14ac:dyDescent="0.25"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  <c r="AA323" s="216"/>
    </row>
    <row r="324" spans="2:27" x14ac:dyDescent="0.25"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</row>
    <row r="325" spans="2:27" x14ac:dyDescent="0.25"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  <c r="AA325" s="216"/>
    </row>
    <row r="326" spans="2:27" x14ac:dyDescent="0.25"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  <c r="AA326" s="216"/>
    </row>
    <row r="327" spans="2:27" x14ac:dyDescent="0.25"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  <c r="AA327" s="216"/>
    </row>
    <row r="328" spans="2:27" x14ac:dyDescent="0.25"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  <c r="AA328" s="216"/>
    </row>
    <row r="329" spans="2:27" x14ac:dyDescent="0.25"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  <c r="AA329" s="216"/>
    </row>
    <row r="330" spans="2:27" x14ac:dyDescent="0.25"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  <c r="AA330" s="216"/>
    </row>
    <row r="331" spans="2:27" x14ac:dyDescent="0.25"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  <c r="AA331" s="216"/>
    </row>
    <row r="332" spans="2:27" x14ac:dyDescent="0.25"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  <c r="AA332" s="216"/>
    </row>
    <row r="333" spans="2:27" x14ac:dyDescent="0.25"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  <c r="AA333" s="216"/>
    </row>
    <row r="334" spans="2:27" x14ac:dyDescent="0.25"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  <c r="AA334" s="216"/>
    </row>
    <row r="335" spans="2:27" x14ac:dyDescent="0.25"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  <c r="AA335" s="216"/>
    </row>
    <row r="336" spans="2:27" x14ac:dyDescent="0.25"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</row>
    <row r="337" spans="2:27" x14ac:dyDescent="0.25"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  <c r="AA337" s="216"/>
    </row>
    <row r="338" spans="2:27" x14ac:dyDescent="0.25"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  <c r="AA338" s="216"/>
    </row>
    <row r="339" spans="2:27" x14ac:dyDescent="0.25"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  <c r="AA339" s="216"/>
    </row>
    <row r="340" spans="2:27" x14ac:dyDescent="0.25"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</row>
    <row r="341" spans="2:27" x14ac:dyDescent="0.25"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  <c r="AA341" s="216"/>
    </row>
    <row r="342" spans="2:27" x14ac:dyDescent="0.25"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  <c r="AA342" s="216"/>
    </row>
    <row r="343" spans="2:27" x14ac:dyDescent="0.25"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  <c r="AA343" s="216"/>
    </row>
    <row r="344" spans="2:27" x14ac:dyDescent="0.25"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  <c r="AA344" s="216"/>
    </row>
    <row r="345" spans="2:27" x14ac:dyDescent="0.25"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</row>
    <row r="346" spans="2:27" x14ac:dyDescent="0.25"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</row>
    <row r="347" spans="2:27" x14ac:dyDescent="0.25"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  <c r="AA347" s="216"/>
    </row>
    <row r="348" spans="2:27" x14ac:dyDescent="0.25"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  <c r="AA348" s="216"/>
    </row>
    <row r="349" spans="2:27" x14ac:dyDescent="0.25"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  <c r="AA349" s="216"/>
    </row>
    <row r="350" spans="2:27" x14ac:dyDescent="0.25"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  <c r="AA350" s="216"/>
    </row>
    <row r="351" spans="2:27" x14ac:dyDescent="0.25"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</row>
    <row r="352" spans="2:27" x14ac:dyDescent="0.25"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  <c r="AA352" s="216"/>
    </row>
    <row r="353" spans="2:27" x14ac:dyDescent="0.25"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  <c r="AA353" s="216"/>
    </row>
    <row r="354" spans="2:27" x14ac:dyDescent="0.25"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  <c r="AA354" s="216"/>
    </row>
    <row r="355" spans="2:27" x14ac:dyDescent="0.25"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  <c r="AA355" s="216"/>
    </row>
    <row r="356" spans="2:27" x14ac:dyDescent="0.25"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  <c r="AA356" s="216"/>
    </row>
    <row r="357" spans="2:27" x14ac:dyDescent="0.25"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</row>
    <row r="358" spans="2:27" x14ac:dyDescent="0.25"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</row>
    <row r="359" spans="2:27" x14ac:dyDescent="0.25"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</row>
    <row r="360" spans="2:27" x14ac:dyDescent="0.25"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  <c r="AA360" s="216"/>
    </row>
    <row r="361" spans="2:27" x14ac:dyDescent="0.25"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</row>
    <row r="362" spans="2:27" x14ac:dyDescent="0.25"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</row>
    <row r="363" spans="2:27" x14ac:dyDescent="0.25"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</row>
    <row r="364" spans="2:27" x14ac:dyDescent="0.25"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  <c r="AA364" s="216"/>
    </row>
    <row r="365" spans="2:27" x14ac:dyDescent="0.25"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  <c r="AA365" s="216"/>
    </row>
    <row r="366" spans="2:27" x14ac:dyDescent="0.25"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</row>
    <row r="367" spans="2:27" x14ac:dyDescent="0.25"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  <c r="AA367" s="216"/>
    </row>
    <row r="368" spans="2:27" x14ac:dyDescent="0.25"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  <c r="AA368" s="216"/>
    </row>
    <row r="369" spans="2:27" x14ac:dyDescent="0.25"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  <c r="AA369" s="216"/>
    </row>
    <row r="370" spans="2:27" x14ac:dyDescent="0.25"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  <c r="AA370" s="216"/>
    </row>
    <row r="371" spans="2:27" x14ac:dyDescent="0.25"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  <c r="AA371" s="216"/>
    </row>
    <row r="372" spans="2:27" x14ac:dyDescent="0.25"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  <c r="AA372" s="216"/>
    </row>
    <row r="373" spans="2:27" x14ac:dyDescent="0.25"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  <c r="AA373" s="216"/>
    </row>
    <row r="374" spans="2:27" x14ac:dyDescent="0.25"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  <c r="AA374" s="216"/>
    </row>
    <row r="375" spans="2:27" x14ac:dyDescent="0.25"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  <c r="AA375" s="216"/>
    </row>
    <row r="376" spans="2:27" x14ac:dyDescent="0.25"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  <c r="AA376" s="216"/>
    </row>
    <row r="377" spans="2:27" x14ac:dyDescent="0.25"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  <c r="AA377" s="216"/>
    </row>
    <row r="378" spans="2:27" x14ac:dyDescent="0.25"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  <c r="AA378" s="216"/>
    </row>
    <row r="379" spans="2:27" x14ac:dyDescent="0.25"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  <c r="AA379" s="216"/>
    </row>
    <row r="380" spans="2:27" x14ac:dyDescent="0.25"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  <c r="AA380" s="216"/>
    </row>
    <row r="381" spans="2:27" x14ac:dyDescent="0.25"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  <c r="AA381" s="216"/>
    </row>
    <row r="382" spans="2:27" x14ac:dyDescent="0.25"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  <c r="AA382" s="216"/>
    </row>
    <row r="383" spans="2:27" x14ac:dyDescent="0.25"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  <c r="AA383" s="216"/>
    </row>
    <row r="384" spans="2:27" x14ac:dyDescent="0.25"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  <c r="AA384" s="216"/>
    </row>
    <row r="385" spans="2:27" x14ac:dyDescent="0.25"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  <c r="AA385" s="216"/>
    </row>
    <row r="386" spans="2:27" x14ac:dyDescent="0.25"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  <c r="AA386" s="216"/>
    </row>
    <row r="387" spans="2:27" x14ac:dyDescent="0.25"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  <c r="AA387" s="216"/>
    </row>
    <row r="388" spans="2:27" x14ac:dyDescent="0.25"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</row>
    <row r="389" spans="2:27" x14ac:dyDescent="0.25"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</row>
    <row r="390" spans="2:27" x14ac:dyDescent="0.25"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  <c r="AA390" s="216"/>
    </row>
    <row r="391" spans="2:27" x14ac:dyDescent="0.25"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  <c r="AA391" s="216"/>
    </row>
    <row r="392" spans="2:27" x14ac:dyDescent="0.25"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  <c r="AA392" s="216"/>
    </row>
    <row r="393" spans="2:27" x14ac:dyDescent="0.25"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  <c r="AA393" s="216"/>
    </row>
    <row r="394" spans="2:27" x14ac:dyDescent="0.25"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  <c r="AA394" s="216"/>
    </row>
    <row r="395" spans="2:27" x14ac:dyDescent="0.25"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  <c r="AA395" s="216"/>
    </row>
    <row r="396" spans="2:27" x14ac:dyDescent="0.25"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  <c r="AA396" s="216"/>
    </row>
    <row r="397" spans="2:27" x14ac:dyDescent="0.25"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  <c r="AA397" s="216"/>
    </row>
    <row r="398" spans="2:27" x14ac:dyDescent="0.25"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  <c r="AA398" s="216"/>
    </row>
    <row r="399" spans="2:27" x14ac:dyDescent="0.25"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  <c r="AA399" s="216"/>
    </row>
    <row r="400" spans="2:27" x14ac:dyDescent="0.25"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  <c r="AA400" s="216"/>
    </row>
    <row r="401" spans="2:27" x14ac:dyDescent="0.25"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</row>
    <row r="402" spans="2:27" x14ac:dyDescent="0.25"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  <c r="AA402" s="216"/>
    </row>
    <row r="403" spans="2:27" x14ac:dyDescent="0.25"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  <c r="AA403" s="216"/>
    </row>
    <row r="404" spans="2:27" x14ac:dyDescent="0.25"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  <c r="AA404" s="216"/>
    </row>
    <row r="405" spans="2:27" x14ac:dyDescent="0.25"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  <c r="AA405" s="216"/>
    </row>
    <row r="406" spans="2:27" x14ac:dyDescent="0.25"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  <c r="AA406" s="216"/>
    </row>
    <row r="407" spans="2:27" x14ac:dyDescent="0.25"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  <c r="AA407" s="216"/>
    </row>
    <row r="408" spans="2:27" x14ac:dyDescent="0.25"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  <c r="AA408" s="216"/>
    </row>
    <row r="409" spans="2:27" x14ac:dyDescent="0.25"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  <c r="AA409" s="216"/>
    </row>
    <row r="410" spans="2:27" x14ac:dyDescent="0.25"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  <c r="AA410" s="216"/>
    </row>
    <row r="411" spans="2:27" x14ac:dyDescent="0.25"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  <c r="AA411" s="216"/>
    </row>
    <row r="412" spans="2:27" x14ac:dyDescent="0.25"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  <c r="AA412" s="216"/>
    </row>
    <row r="413" spans="2:27" x14ac:dyDescent="0.25"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  <c r="AA413" s="216"/>
    </row>
    <row r="414" spans="2:27" x14ac:dyDescent="0.25"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  <c r="AA414" s="216"/>
    </row>
    <row r="415" spans="2:27" x14ac:dyDescent="0.25"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</row>
    <row r="416" spans="2:27" x14ac:dyDescent="0.25"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  <c r="AA416" s="216"/>
    </row>
    <row r="417" spans="2:27" x14ac:dyDescent="0.25"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  <c r="AA417" s="216"/>
    </row>
    <row r="418" spans="2:27" x14ac:dyDescent="0.25"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  <c r="AA418" s="216"/>
    </row>
    <row r="419" spans="2:27" x14ac:dyDescent="0.25"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  <c r="AA419" s="216"/>
    </row>
    <row r="420" spans="2:27" x14ac:dyDescent="0.25"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  <c r="AA420" s="216"/>
    </row>
    <row r="421" spans="2:27" x14ac:dyDescent="0.25"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  <c r="AA421" s="216"/>
    </row>
    <row r="422" spans="2:27" x14ac:dyDescent="0.25"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  <c r="AA422" s="216"/>
    </row>
    <row r="423" spans="2:27" x14ac:dyDescent="0.25"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  <c r="AA423" s="216"/>
    </row>
    <row r="424" spans="2:27" x14ac:dyDescent="0.25"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  <c r="AA424" s="216"/>
    </row>
    <row r="425" spans="2:27" x14ac:dyDescent="0.25"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  <c r="AA425" s="216"/>
    </row>
    <row r="426" spans="2:27" x14ac:dyDescent="0.25"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  <c r="AA426" s="216"/>
    </row>
    <row r="427" spans="2:27" x14ac:dyDescent="0.25"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  <c r="AA427" s="216"/>
    </row>
    <row r="428" spans="2:27" x14ac:dyDescent="0.25"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  <c r="AA428" s="216"/>
    </row>
    <row r="429" spans="2:27" x14ac:dyDescent="0.25"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  <c r="AA429" s="216"/>
    </row>
    <row r="430" spans="2:27" x14ac:dyDescent="0.25"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  <c r="AA430" s="216"/>
    </row>
    <row r="431" spans="2:27" x14ac:dyDescent="0.25"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  <c r="AA431" s="216"/>
    </row>
    <row r="432" spans="2:27" x14ac:dyDescent="0.25"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  <c r="AA432" s="216"/>
    </row>
    <row r="433" spans="2:27" x14ac:dyDescent="0.25"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</row>
    <row r="434" spans="2:27" x14ac:dyDescent="0.25"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</row>
    <row r="435" spans="2:27" x14ac:dyDescent="0.25"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</row>
    <row r="436" spans="2:27" x14ac:dyDescent="0.25"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</row>
    <row r="437" spans="2:27" x14ac:dyDescent="0.25"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</row>
    <row r="438" spans="2:27" x14ac:dyDescent="0.25"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</row>
    <row r="439" spans="2:27" x14ac:dyDescent="0.25"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</row>
    <row r="440" spans="2:27" x14ac:dyDescent="0.25"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</row>
    <row r="441" spans="2:27" x14ac:dyDescent="0.25"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</row>
    <row r="442" spans="2:27" x14ac:dyDescent="0.25"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</row>
    <row r="443" spans="2:27" x14ac:dyDescent="0.25"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</row>
    <row r="444" spans="2:27" x14ac:dyDescent="0.25"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</row>
    <row r="445" spans="2:27" x14ac:dyDescent="0.25"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</row>
    <row r="446" spans="2:27" x14ac:dyDescent="0.25"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</row>
    <row r="447" spans="2:27" x14ac:dyDescent="0.25"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</row>
    <row r="448" spans="2:27" x14ac:dyDescent="0.25"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</row>
    <row r="449" spans="2:27" x14ac:dyDescent="0.25"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</row>
    <row r="450" spans="2:27" x14ac:dyDescent="0.25"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</row>
    <row r="451" spans="2:27" x14ac:dyDescent="0.25"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</row>
    <row r="452" spans="2:27" x14ac:dyDescent="0.25"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</row>
    <row r="453" spans="2:27" x14ac:dyDescent="0.25"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</row>
    <row r="454" spans="2:27" x14ac:dyDescent="0.25"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</row>
    <row r="455" spans="2:27" x14ac:dyDescent="0.25"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</row>
    <row r="456" spans="2:27" x14ac:dyDescent="0.25"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</row>
    <row r="457" spans="2:27" x14ac:dyDescent="0.25"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</row>
    <row r="458" spans="2:27" x14ac:dyDescent="0.25"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</row>
    <row r="459" spans="2:27" x14ac:dyDescent="0.25"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</row>
    <row r="460" spans="2:27" x14ac:dyDescent="0.25"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</row>
    <row r="461" spans="2:27" x14ac:dyDescent="0.25"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</row>
    <row r="462" spans="2:27" x14ac:dyDescent="0.25"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</row>
    <row r="463" spans="2:27" x14ac:dyDescent="0.25"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</row>
    <row r="464" spans="2:27" x14ac:dyDescent="0.25"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</row>
    <row r="465" spans="2:27" x14ac:dyDescent="0.25"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</row>
    <row r="466" spans="2:27" x14ac:dyDescent="0.25"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</row>
    <row r="467" spans="2:27" x14ac:dyDescent="0.25"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</row>
    <row r="468" spans="2:27" x14ac:dyDescent="0.25"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</row>
    <row r="469" spans="2:27" x14ac:dyDescent="0.25"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</row>
    <row r="470" spans="2:27" x14ac:dyDescent="0.25"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</row>
    <row r="471" spans="2:27" x14ac:dyDescent="0.25"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</row>
    <row r="472" spans="2:27" x14ac:dyDescent="0.25"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</row>
    <row r="473" spans="2:27" x14ac:dyDescent="0.25"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</row>
    <row r="474" spans="2:27" x14ac:dyDescent="0.25"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</row>
    <row r="475" spans="2:27" x14ac:dyDescent="0.25"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</row>
    <row r="476" spans="2:27" x14ac:dyDescent="0.25"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</row>
    <row r="477" spans="2:27" x14ac:dyDescent="0.25"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</row>
    <row r="478" spans="2:27" x14ac:dyDescent="0.25"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</row>
    <row r="479" spans="2:27" x14ac:dyDescent="0.25"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</row>
    <row r="480" spans="2:27" x14ac:dyDescent="0.25"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</row>
    <row r="481" spans="2:27" x14ac:dyDescent="0.25"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</row>
    <row r="482" spans="2:27" x14ac:dyDescent="0.25"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</row>
    <row r="483" spans="2:27" x14ac:dyDescent="0.25"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</row>
    <row r="484" spans="2:27" x14ac:dyDescent="0.25"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</row>
    <row r="485" spans="2:27" x14ac:dyDescent="0.25"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</row>
    <row r="486" spans="2:27" x14ac:dyDescent="0.25"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</row>
    <row r="487" spans="2:27" x14ac:dyDescent="0.25"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</row>
    <row r="488" spans="2:27" x14ac:dyDescent="0.25"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</row>
    <row r="489" spans="2:27" x14ac:dyDescent="0.25"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</row>
    <row r="490" spans="2:27" x14ac:dyDescent="0.25"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</row>
    <row r="491" spans="2:27" x14ac:dyDescent="0.25"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</row>
    <row r="492" spans="2:27" x14ac:dyDescent="0.25"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</row>
    <row r="493" spans="2:27" x14ac:dyDescent="0.25"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</row>
    <row r="494" spans="2:27" x14ac:dyDescent="0.25"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</row>
    <row r="495" spans="2:27" x14ac:dyDescent="0.25"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</row>
    <row r="496" spans="2:27" x14ac:dyDescent="0.25"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</row>
    <row r="497" spans="2:27" x14ac:dyDescent="0.25"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</row>
    <row r="498" spans="2:27" x14ac:dyDescent="0.25"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</row>
    <row r="499" spans="2:27" x14ac:dyDescent="0.25"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</row>
    <row r="500" spans="2:27" x14ac:dyDescent="0.25"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</row>
    <row r="501" spans="2:27" x14ac:dyDescent="0.25"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</row>
    <row r="502" spans="2:27" x14ac:dyDescent="0.25"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</row>
    <row r="503" spans="2:27" x14ac:dyDescent="0.25"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</row>
    <row r="504" spans="2:27" x14ac:dyDescent="0.25"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</row>
    <row r="505" spans="2:27" x14ac:dyDescent="0.25"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</row>
    <row r="506" spans="2:27" x14ac:dyDescent="0.25"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</row>
    <row r="507" spans="2:27" x14ac:dyDescent="0.25"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</row>
    <row r="508" spans="2:27" x14ac:dyDescent="0.25"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</row>
    <row r="509" spans="2:27" x14ac:dyDescent="0.25"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</row>
    <row r="510" spans="2:27" x14ac:dyDescent="0.25"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</row>
    <row r="511" spans="2:27" x14ac:dyDescent="0.25"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</row>
    <row r="512" spans="2:27" x14ac:dyDescent="0.25"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</row>
    <row r="513" spans="2:27" x14ac:dyDescent="0.25"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</row>
    <row r="514" spans="2:27" x14ac:dyDescent="0.25"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</row>
    <row r="515" spans="2:27" x14ac:dyDescent="0.25"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</row>
    <row r="516" spans="2:27" x14ac:dyDescent="0.25"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</row>
    <row r="517" spans="2:27" x14ac:dyDescent="0.25"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</row>
    <row r="518" spans="2:27" x14ac:dyDescent="0.25"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</row>
    <row r="519" spans="2:27" x14ac:dyDescent="0.25"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</row>
    <row r="520" spans="2:27" x14ac:dyDescent="0.25"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</row>
    <row r="521" spans="2:27" x14ac:dyDescent="0.25"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</row>
    <row r="522" spans="2:27" x14ac:dyDescent="0.25"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</row>
    <row r="523" spans="2:27" x14ac:dyDescent="0.25"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</row>
    <row r="524" spans="2:27" x14ac:dyDescent="0.25"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</row>
    <row r="525" spans="2:27" x14ac:dyDescent="0.25"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</row>
    <row r="526" spans="2:27" x14ac:dyDescent="0.25"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</row>
    <row r="527" spans="2:27" x14ac:dyDescent="0.25"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</row>
    <row r="528" spans="2:27" x14ac:dyDescent="0.25"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</row>
    <row r="529" spans="2:27" x14ac:dyDescent="0.25"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</row>
    <row r="530" spans="2:27" x14ac:dyDescent="0.25"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</row>
    <row r="531" spans="2:27" x14ac:dyDescent="0.25"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</row>
    <row r="532" spans="2:27" x14ac:dyDescent="0.25"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</row>
    <row r="533" spans="2:27" x14ac:dyDescent="0.25"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</row>
    <row r="534" spans="2:27" x14ac:dyDescent="0.25"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</row>
    <row r="535" spans="2:27" x14ac:dyDescent="0.25"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</row>
    <row r="536" spans="2:27" x14ac:dyDescent="0.25"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</row>
    <row r="537" spans="2:27" x14ac:dyDescent="0.25"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</row>
    <row r="538" spans="2:27" x14ac:dyDescent="0.25"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</row>
    <row r="539" spans="2:27" x14ac:dyDescent="0.25"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</row>
    <row r="540" spans="2:27" x14ac:dyDescent="0.25"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</row>
    <row r="541" spans="2:27" x14ac:dyDescent="0.25"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</row>
    <row r="542" spans="2:27" x14ac:dyDescent="0.25"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</row>
    <row r="543" spans="2:27" x14ac:dyDescent="0.25"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</row>
    <row r="544" spans="2:27" x14ac:dyDescent="0.25"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</row>
    <row r="545" spans="2:27" x14ac:dyDescent="0.25"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</row>
    <row r="546" spans="2:27" x14ac:dyDescent="0.25"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</row>
    <row r="547" spans="2:27" x14ac:dyDescent="0.25"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</row>
    <row r="548" spans="2:27" x14ac:dyDescent="0.25"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</row>
    <row r="549" spans="2:27" x14ac:dyDescent="0.25"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</row>
    <row r="550" spans="2:27" x14ac:dyDescent="0.25"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</row>
    <row r="551" spans="2:27" x14ac:dyDescent="0.25"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</row>
    <row r="552" spans="2:27" x14ac:dyDescent="0.25"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</row>
    <row r="553" spans="2:27" x14ac:dyDescent="0.25"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</row>
    <row r="554" spans="2:27" x14ac:dyDescent="0.25"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</row>
    <row r="555" spans="2:27" x14ac:dyDescent="0.25"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</row>
    <row r="556" spans="2:27" x14ac:dyDescent="0.25"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</row>
    <row r="557" spans="2:27" x14ac:dyDescent="0.25"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</row>
    <row r="558" spans="2:27" x14ac:dyDescent="0.25"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</row>
    <row r="559" spans="2:27" x14ac:dyDescent="0.25"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</row>
    <row r="560" spans="2:27" x14ac:dyDescent="0.25"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</row>
    <row r="561" spans="2:27" x14ac:dyDescent="0.25"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</row>
    <row r="562" spans="2:27" x14ac:dyDescent="0.25"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</row>
    <row r="563" spans="2:27" x14ac:dyDescent="0.25"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</row>
    <row r="564" spans="2:27" x14ac:dyDescent="0.25"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</row>
    <row r="565" spans="2:27" x14ac:dyDescent="0.25"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</row>
    <row r="566" spans="2:27" x14ac:dyDescent="0.25"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</row>
    <row r="567" spans="2:27" x14ac:dyDescent="0.25"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</row>
    <row r="568" spans="2:27" x14ac:dyDescent="0.25"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</row>
    <row r="569" spans="2:27" x14ac:dyDescent="0.25"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</row>
    <row r="570" spans="2:27" x14ac:dyDescent="0.25"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</row>
    <row r="571" spans="2:27" x14ac:dyDescent="0.25"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</row>
    <row r="572" spans="2:27" x14ac:dyDescent="0.25"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</row>
    <row r="573" spans="2:27" x14ac:dyDescent="0.25"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</row>
    <row r="574" spans="2:27" x14ac:dyDescent="0.25"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</row>
    <row r="575" spans="2:27" x14ac:dyDescent="0.25"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</row>
    <row r="576" spans="2:27" x14ac:dyDescent="0.25"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</row>
    <row r="577" spans="2:27" x14ac:dyDescent="0.25"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</row>
    <row r="578" spans="2:27" x14ac:dyDescent="0.25"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</row>
    <row r="579" spans="2:27" x14ac:dyDescent="0.25"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</row>
    <row r="580" spans="2:27" x14ac:dyDescent="0.25"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</row>
    <row r="581" spans="2:27" x14ac:dyDescent="0.25"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</row>
    <row r="582" spans="2:27" x14ac:dyDescent="0.25"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</row>
    <row r="583" spans="2:27" x14ac:dyDescent="0.25"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</row>
    <row r="584" spans="2:27" x14ac:dyDescent="0.25"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</row>
    <row r="585" spans="2:27" x14ac:dyDescent="0.25"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</row>
    <row r="586" spans="2:27" x14ac:dyDescent="0.25"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</row>
    <row r="587" spans="2:27" x14ac:dyDescent="0.25"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</row>
    <row r="588" spans="2:27" x14ac:dyDescent="0.25"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</row>
    <row r="589" spans="2:27" x14ac:dyDescent="0.25"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</row>
    <row r="590" spans="2:27" x14ac:dyDescent="0.25"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</row>
    <row r="591" spans="2:27" x14ac:dyDescent="0.25"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</row>
    <row r="592" spans="2:27" x14ac:dyDescent="0.25"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</row>
    <row r="593" spans="2:27" x14ac:dyDescent="0.25"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</row>
    <row r="594" spans="2:27" x14ac:dyDescent="0.25"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</row>
    <row r="595" spans="2:27" x14ac:dyDescent="0.25"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</row>
    <row r="596" spans="2:27" x14ac:dyDescent="0.25"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</row>
    <row r="597" spans="2:27" x14ac:dyDescent="0.25"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</row>
    <row r="598" spans="2:27" x14ac:dyDescent="0.25"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</row>
    <row r="599" spans="2:27" x14ac:dyDescent="0.25"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</row>
    <row r="600" spans="2:27" x14ac:dyDescent="0.25"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</row>
    <row r="601" spans="2:27" x14ac:dyDescent="0.25"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</row>
    <row r="602" spans="2:27" x14ac:dyDescent="0.25"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</row>
    <row r="603" spans="2:27" x14ac:dyDescent="0.25"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</row>
    <row r="604" spans="2:27" x14ac:dyDescent="0.25"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  <c r="AA604" s="216"/>
    </row>
    <row r="605" spans="2:27" x14ac:dyDescent="0.25"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  <c r="AA605" s="216"/>
    </row>
    <row r="606" spans="2:27" x14ac:dyDescent="0.25"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  <c r="AA606" s="216"/>
    </row>
    <row r="607" spans="2:27" x14ac:dyDescent="0.25"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  <c r="AA607" s="216"/>
    </row>
    <row r="608" spans="2:27" x14ac:dyDescent="0.25"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</row>
    <row r="609" spans="2:27" x14ac:dyDescent="0.25"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  <c r="AA609" s="216"/>
    </row>
    <row r="610" spans="2:27" x14ac:dyDescent="0.25"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  <c r="AA610" s="216"/>
    </row>
    <row r="611" spans="2:27" x14ac:dyDescent="0.25"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  <c r="AA611" s="216"/>
    </row>
    <row r="612" spans="2:27" x14ac:dyDescent="0.25"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  <c r="AA612" s="216"/>
    </row>
    <row r="613" spans="2:27" x14ac:dyDescent="0.25"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  <c r="AA613" s="216"/>
    </row>
    <row r="614" spans="2:27" x14ac:dyDescent="0.25"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  <c r="AA614" s="216"/>
    </row>
    <row r="615" spans="2:27" x14ac:dyDescent="0.25"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  <c r="AA615" s="216"/>
    </row>
    <row r="616" spans="2:27" x14ac:dyDescent="0.25"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  <c r="AA616" s="216"/>
    </row>
    <row r="617" spans="2:27" x14ac:dyDescent="0.25"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  <c r="AA617" s="216"/>
    </row>
    <row r="618" spans="2:27" x14ac:dyDescent="0.25"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  <c r="AA618" s="216"/>
    </row>
    <row r="619" spans="2:27" x14ac:dyDescent="0.25"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  <c r="AA619" s="216"/>
    </row>
    <row r="620" spans="2:27" x14ac:dyDescent="0.25"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  <c r="AA620" s="216"/>
    </row>
    <row r="621" spans="2:27" x14ac:dyDescent="0.25"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  <c r="AA621" s="216"/>
    </row>
    <row r="622" spans="2:27" x14ac:dyDescent="0.25"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  <c r="AA622" s="216"/>
    </row>
    <row r="623" spans="2:27" x14ac:dyDescent="0.25"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  <c r="AA623" s="216"/>
    </row>
    <row r="624" spans="2:27" x14ac:dyDescent="0.25"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  <c r="AA624" s="216"/>
    </row>
    <row r="625" spans="2:27" x14ac:dyDescent="0.25"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  <c r="AA625" s="216"/>
    </row>
    <row r="626" spans="2:27" x14ac:dyDescent="0.25"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  <c r="AA626" s="216"/>
    </row>
    <row r="627" spans="2:27" x14ac:dyDescent="0.25"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  <c r="AA627" s="216"/>
    </row>
    <row r="628" spans="2:27" x14ac:dyDescent="0.25"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  <c r="AA628" s="216"/>
    </row>
    <row r="629" spans="2:27" x14ac:dyDescent="0.25"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  <c r="AA629" s="216"/>
    </row>
    <row r="630" spans="2:27" x14ac:dyDescent="0.25"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  <c r="AA630" s="216"/>
    </row>
    <row r="631" spans="2:27" x14ac:dyDescent="0.25"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  <c r="AA631" s="216"/>
    </row>
    <row r="632" spans="2:27" x14ac:dyDescent="0.25"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  <c r="AA632" s="216"/>
    </row>
    <row r="633" spans="2:27" x14ac:dyDescent="0.25"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  <c r="AA633" s="216"/>
    </row>
    <row r="634" spans="2:27" x14ac:dyDescent="0.25"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  <c r="AA634" s="216"/>
    </row>
    <row r="635" spans="2:27" x14ac:dyDescent="0.25"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  <c r="AA635" s="216"/>
    </row>
    <row r="636" spans="2:27" x14ac:dyDescent="0.25"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  <c r="AA636" s="216"/>
    </row>
    <row r="637" spans="2:27" x14ac:dyDescent="0.25"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  <c r="AA637" s="216"/>
    </row>
    <row r="638" spans="2:27" x14ac:dyDescent="0.25"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  <c r="AA638" s="216"/>
    </row>
    <row r="639" spans="2:27" x14ac:dyDescent="0.25"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  <c r="AA639" s="216"/>
    </row>
    <row r="640" spans="2:27" x14ac:dyDescent="0.25"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  <c r="AA640" s="216"/>
    </row>
    <row r="641" spans="2:27" x14ac:dyDescent="0.25"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  <c r="AA641" s="216"/>
    </row>
    <row r="642" spans="2:27" x14ac:dyDescent="0.25"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  <c r="AA642" s="216"/>
    </row>
    <row r="643" spans="2:27" x14ac:dyDescent="0.25"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  <c r="AA643" s="216"/>
    </row>
    <row r="644" spans="2:27" x14ac:dyDescent="0.25"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  <c r="AA644" s="216"/>
    </row>
    <row r="645" spans="2:27" x14ac:dyDescent="0.25"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  <c r="AA645" s="216"/>
    </row>
    <row r="646" spans="2:27" x14ac:dyDescent="0.25"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  <c r="AA646" s="216"/>
    </row>
    <row r="647" spans="2:27" x14ac:dyDescent="0.25"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  <c r="AA647" s="216"/>
    </row>
    <row r="648" spans="2:27" x14ac:dyDescent="0.25"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</row>
    <row r="649" spans="2:27" x14ac:dyDescent="0.25"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  <c r="AA649" s="216"/>
    </row>
    <row r="650" spans="2:27" x14ac:dyDescent="0.25"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</row>
    <row r="651" spans="2:27" x14ac:dyDescent="0.25"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  <c r="AA651" s="216"/>
    </row>
    <row r="652" spans="2:27" x14ac:dyDescent="0.25"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  <c r="AA652" s="216"/>
    </row>
    <row r="653" spans="2:27" x14ac:dyDescent="0.25"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  <c r="AA653" s="216"/>
    </row>
    <row r="654" spans="2:27" x14ac:dyDescent="0.25"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</row>
    <row r="655" spans="2:27" x14ac:dyDescent="0.25"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  <c r="AA655" s="216"/>
    </row>
    <row r="656" spans="2:27" x14ac:dyDescent="0.25"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</row>
    <row r="657" spans="2:27" x14ac:dyDescent="0.25"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  <c r="AA657" s="216"/>
    </row>
    <row r="658" spans="2:27" x14ac:dyDescent="0.25"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  <c r="AA658" s="216"/>
    </row>
    <row r="659" spans="2:27" x14ac:dyDescent="0.25"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  <c r="AA659" s="216"/>
    </row>
    <row r="660" spans="2:27" x14ac:dyDescent="0.25"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  <c r="AA660" s="216"/>
    </row>
    <row r="661" spans="2:27" x14ac:dyDescent="0.25"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  <c r="AA661" s="216"/>
    </row>
    <row r="662" spans="2:27" x14ac:dyDescent="0.25"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  <c r="AA662" s="216"/>
    </row>
    <row r="663" spans="2:27" x14ac:dyDescent="0.25"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  <c r="AA663" s="216"/>
    </row>
    <row r="664" spans="2:27" x14ac:dyDescent="0.25"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</row>
    <row r="665" spans="2:27" x14ac:dyDescent="0.25"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  <c r="AA665" s="216"/>
    </row>
    <row r="666" spans="2:27" x14ac:dyDescent="0.25"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</row>
    <row r="667" spans="2:27" x14ac:dyDescent="0.25"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  <c r="AA667" s="216"/>
    </row>
    <row r="668" spans="2:27" x14ac:dyDescent="0.25"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  <c r="AA668" s="216"/>
    </row>
    <row r="669" spans="2:27" x14ac:dyDescent="0.25"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  <c r="AA669" s="216"/>
    </row>
    <row r="670" spans="2:27" x14ac:dyDescent="0.25"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  <c r="AA670" s="216"/>
    </row>
    <row r="671" spans="2:27" x14ac:dyDescent="0.25"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  <c r="AA671" s="216"/>
    </row>
    <row r="672" spans="2:27" x14ac:dyDescent="0.25"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  <c r="AA672" s="216"/>
    </row>
    <row r="673" spans="2:27" x14ac:dyDescent="0.25"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  <c r="AA673" s="216"/>
    </row>
    <row r="674" spans="2:27" x14ac:dyDescent="0.25"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</row>
    <row r="675" spans="2:27" x14ac:dyDescent="0.25"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  <c r="AA675" s="216"/>
    </row>
    <row r="676" spans="2:27" x14ac:dyDescent="0.25"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  <c r="AA676" s="216"/>
    </row>
    <row r="677" spans="2:27" x14ac:dyDescent="0.25"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  <c r="AA677" s="216"/>
    </row>
    <row r="678" spans="2:27" x14ac:dyDescent="0.25"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  <c r="AA678" s="216"/>
    </row>
    <row r="679" spans="2:27" x14ac:dyDescent="0.25"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  <c r="AA679" s="216"/>
    </row>
    <row r="680" spans="2:27" x14ac:dyDescent="0.25"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  <c r="AA680" s="216"/>
    </row>
    <row r="681" spans="2:27" x14ac:dyDescent="0.25"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  <c r="AA681" s="216"/>
    </row>
    <row r="682" spans="2:27" x14ac:dyDescent="0.25"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  <c r="AA682" s="216"/>
    </row>
    <row r="683" spans="2:27" x14ac:dyDescent="0.25"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  <c r="AA683" s="216"/>
    </row>
    <row r="684" spans="2:27" x14ac:dyDescent="0.25"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  <c r="AA684" s="216"/>
    </row>
    <row r="685" spans="2:27" x14ac:dyDescent="0.25"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  <c r="AA685" s="216"/>
    </row>
    <row r="686" spans="2:27" x14ac:dyDescent="0.25"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  <c r="AA686" s="216"/>
    </row>
    <row r="687" spans="2:27" x14ac:dyDescent="0.25"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  <c r="AA687" s="216"/>
    </row>
    <row r="688" spans="2:27" x14ac:dyDescent="0.25"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  <c r="AA688" s="216"/>
    </row>
    <row r="689" spans="2:27" x14ac:dyDescent="0.25"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  <c r="AA689" s="216"/>
    </row>
    <row r="690" spans="2:27" x14ac:dyDescent="0.25"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  <c r="AA690" s="216"/>
    </row>
    <row r="691" spans="2:27" x14ac:dyDescent="0.25"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  <c r="AA691" s="216"/>
    </row>
    <row r="692" spans="2:27" x14ac:dyDescent="0.25"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</row>
    <row r="693" spans="2:27" x14ac:dyDescent="0.25"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  <c r="AA693" s="216"/>
    </row>
    <row r="694" spans="2:27" x14ac:dyDescent="0.25"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  <c r="AA694" s="216"/>
    </row>
    <row r="695" spans="2:27" x14ac:dyDescent="0.25"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  <c r="AA695" s="216"/>
    </row>
    <row r="696" spans="2:27" x14ac:dyDescent="0.25"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  <c r="AA696" s="216"/>
    </row>
    <row r="697" spans="2:27" x14ac:dyDescent="0.25"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  <c r="AA697" s="216"/>
    </row>
    <row r="698" spans="2:27" x14ac:dyDescent="0.25"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  <c r="AA698" s="216"/>
    </row>
    <row r="699" spans="2:27" x14ac:dyDescent="0.25"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  <c r="AA699" s="216"/>
    </row>
    <row r="700" spans="2:27" x14ac:dyDescent="0.25"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</row>
    <row r="701" spans="2:27" x14ac:dyDescent="0.25"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  <c r="AA701" s="216"/>
    </row>
    <row r="702" spans="2:27" x14ac:dyDescent="0.25"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</row>
    <row r="703" spans="2:27" x14ac:dyDescent="0.25"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  <c r="AA703" s="216"/>
    </row>
    <row r="704" spans="2:27" x14ac:dyDescent="0.25"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</row>
    <row r="705" spans="2:27" x14ac:dyDescent="0.25"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  <c r="AA705" s="216"/>
    </row>
    <row r="706" spans="2:27" x14ac:dyDescent="0.25"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</row>
    <row r="707" spans="2:27" x14ac:dyDescent="0.25"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  <c r="AA707" s="216"/>
    </row>
    <row r="708" spans="2:27" x14ac:dyDescent="0.25"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  <c r="AA708" s="216"/>
    </row>
    <row r="709" spans="2:27" x14ac:dyDescent="0.25"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  <c r="AA709" s="216"/>
    </row>
    <row r="710" spans="2:27" x14ac:dyDescent="0.25"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</row>
    <row r="711" spans="2:27" x14ac:dyDescent="0.25"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  <c r="AA711" s="216"/>
    </row>
    <row r="712" spans="2:27" x14ac:dyDescent="0.25"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</row>
    <row r="713" spans="2:27" x14ac:dyDescent="0.25"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  <c r="AA713" s="216"/>
    </row>
    <row r="714" spans="2:27" x14ac:dyDescent="0.25"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</row>
    <row r="715" spans="2:27" x14ac:dyDescent="0.25"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  <c r="AA715" s="216"/>
    </row>
    <row r="716" spans="2:27" x14ac:dyDescent="0.25"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</row>
    <row r="717" spans="2:27" x14ac:dyDescent="0.25"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  <c r="AA717" s="216"/>
    </row>
    <row r="718" spans="2:27" x14ac:dyDescent="0.25"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</row>
    <row r="719" spans="2:27" x14ac:dyDescent="0.25"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  <c r="AA719" s="216"/>
    </row>
    <row r="720" spans="2:27" x14ac:dyDescent="0.25"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</row>
    <row r="721" spans="2:27" x14ac:dyDescent="0.25"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  <c r="AA721" s="216"/>
    </row>
    <row r="722" spans="2:27" x14ac:dyDescent="0.25"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</row>
    <row r="723" spans="2:27" x14ac:dyDescent="0.25"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  <c r="AA723" s="216"/>
    </row>
    <row r="724" spans="2:27" x14ac:dyDescent="0.25"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</row>
    <row r="725" spans="2:27" x14ac:dyDescent="0.25"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  <c r="AA725" s="216"/>
    </row>
    <row r="726" spans="2:27" x14ac:dyDescent="0.25"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</row>
    <row r="727" spans="2:27" x14ac:dyDescent="0.25"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  <c r="AA727" s="216"/>
    </row>
    <row r="728" spans="2:27" x14ac:dyDescent="0.25"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</row>
    <row r="729" spans="2:27" x14ac:dyDescent="0.25"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</row>
    <row r="730" spans="2:27" x14ac:dyDescent="0.25"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</row>
    <row r="731" spans="2:27" x14ac:dyDescent="0.25"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  <c r="AA731" s="216"/>
    </row>
    <row r="732" spans="2:27" x14ac:dyDescent="0.25"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</row>
    <row r="733" spans="2:27" x14ac:dyDescent="0.25"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  <c r="AA733" s="216"/>
    </row>
    <row r="734" spans="2:27" x14ac:dyDescent="0.25"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</row>
    <row r="735" spans="2:27" x14ac:dyDescent="0.25"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  <c r="AA735" s="216"/>
    </row>
    <row r="736" spans="2:27" x14ac:dyDescent="0.25"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</row>
    <row r="737" spans="2:27" x14ac:dyDescent="0.25"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  <c r="AA737" s="216"/>
    </row>
    <row r="738" spans="2:27" x14ac:dyDescent="0.25"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</row>
    <row r="739" spans="2:27" x14ac:dyDescent="0.25"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  <c r="AA739" s="216"/>
    </row>
    <row r="740" spans="2:27" x14ac:dyDescent="0.25"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</row>
    <row r="741" spans="2:27" x14ac:dyDescent="0.25"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  <c r="AA741" s="216"/>
    </row>
    <row r="742" spans="2:27" x14ac:dyDescent="0.25"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</row>
    <row r="743" spans="2:27" x14ac:dyDescent="0.25"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  <c r="AA743" s="216"/>
    </row>
    <row r="744" spans="2:27" x14ac:dyDescent="0.25"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</row>
    <row r="745" spans="2:27" x14ac:dyDescent="0.25"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  <c r="AA745" s="216"/>
    </row>
    <row r="746" spans="2:27" x14ac:dyDescent="0.25"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</row>
    <row r="747" spans="2:27" x14ac:dyDescent="0.25"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  <c r="AA747" s="216"/>
    </row>
    <row r="748" spans="2:27" x14ac:dyDescent="0.25"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</row>
    <row r="749" spans="2:27" x14ac:dyDescent="0.25"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  <c r="AA749" s="216"/>
    </row>
    <row r="750" spans="2:27" x14ac:dyDescent="0.25"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</row>
    <row r="751" spans="2:27" x14ac:dyDescent="0.25"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  <c r="AA751" s="216"/>
    </row>
    <row r="752" spans="2:27" x14ac:dyDescent="0.25"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</row>
    <row r="753" spans="2:27" x14ac:dyDescent="0.25"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  <c r="AA753" s="216"/>
    </row>
    <row r="754" spans="2:27" x14ac:dyDescent="0.25"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</row>
    <row r="755" spans="2:27" x14ac:dyDescent="0.25"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  <c r="AA755" s="216"/>
    </row>
    <row r="756" spans="2:27" x14ac:dyDescent="0.25"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</row>
    <row r="757" spans="2:27" x14ac:dyDescent="0.25"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  <c r="AA757" s="216"/>
    </row>
    <row r="758" spans="2:27" x14ac:dyDescent="0.25"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</row>
    <row r="759" spans="2:27" x14ac:dyDescent="0.25"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  <c r="AA759" s="216"/>
    </row>
    <row r="760" spans="2:27" x14ac:dyDescent="0.25"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</row>
    <row r="761" spans="2:27" x14ac:dyDescent="0.25"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  <c r="AA761" s="216"/>
    </row>
    <row r="762" spans="2:27" x14ac:dyDescent="0.25"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</row>
    <row r="763" spans="2:27" x14ac:dyDescent="0.25"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  <c r="AA763" s="216"/>
    </row>
    <row r="764" spans="2:27" x14ac:dyDescent="0.25"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</row>
    <row r="765" spans="2:27" x14ac:dyDescent="0.25"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  <c r="AA765" s="216"/>
    </row>
    <row r="766" spans="2:27" x14ac:dyDescent="0.25"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</row>
    <row r="767" spans="2:27" x14ac:dyDescent="0.25"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  <c r="AA767" s="216"/>
    </row>
    <row r="768" spans="2:27" x14ac:dyDescent="0.25"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</row>
    <row r="769" spans="2:27" x14ac:dyDescent="0.25"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  <c r="AA769" s="216"/>
    </row>
    <row r="770" spans="2:27" x14ac:dyDescent="0.25"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</row>
    <row r="771" spans="2:27" x14ac:dyDescent="0.25"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  <c r="AA771" s="216"/>
    </row>
    <row r="772" spans="2:27" x14ac:dyDescent="0.25"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</row>
    <row r="773" spans="2:27" x14ac:dyDescent="0.25"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  <c r="AA773" s="216"/>
    </row>
    <row r="774" spans="2:27" x14ac:dyDescent="0.25"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</row>
    <row r="775" spans="2:27" x14ac:dyDescent="0.25"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  <c r="AA775" s="216"/>
    </row>
    <row r="776" spans="2:27" x14ac:dyDescent="0.25"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</row>
    <row r="777" spans="2:27" x14ac:dyDescent="0.25"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  <c r="AA777" s="216"/>
    </row>
    <row r="778" spans="2:27" x14ac:dyDescent="0.25"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</row>
    <row r="779" spans="2:27" x14ac:dyDescent="0.25"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  <c r="AA779" s="216"/>
    </row>
    <row r="780" spans="2:27" x14ac:dyDescent="0.25"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</row>
    <row r="781" spans="2:27" x14ac:dyDescent="0.25"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  <c r="AA781" s="216"/>
    </row>
    <row r="782" spans="2:27" x14ac:dyDescent="0.25"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</row>
    <row r="783" spans="2:27" x14ac:dyDescent="0.25"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  <c r="AA783" s="216"/>
    </row>
    <row r="784" spans="2:27" x14ac:dyDescent="0.25"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</row>
    <row r="785" spans="2:27" x14ac:dyDescent="0.25"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  <c r="AA785" s="216"/>
    </row>
    <row r="786" spans="2:27" x14ac:dyDescent="0.25"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</row>
    <row r="787" spans="2:27" x14ac:dyDescent="0.25"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  <c r="AA787" s="216"/>
    </row>
    <row r="788" spans="2:27" x14ac:dyDescent="0.25"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</row>
    <row r="789" spans="2:27" x14ac:dyDescent="0.25"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  <c r="AA789" s="216"/>
    </row>
    <row r="790" spans="2:27" x14ac:dyDescent="0.25"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</row>
    <row r="791" spans="2:27" x14ac:dyDescent="0.25"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  <c r="AA791" s="216"/>
    </row>
    <row r="792" spans="2:27" x14ac:dyDescent="0.25"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</row>
    <row r="793" spans="2:27" x14ac:dyDescent="0.25"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  <c r="AA793" s="216"/>
    </row>
    <row r="794" spans="2:27" x14ac:dyDescent="0.25"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</row>
    <row r="795" spans="2:27" x14ac:dyDescent="0.25"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  <c r="AA795" s="216"/>
    </row>
    <row r="796" spans="2:27" x14ac:dyDescent="0.25"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</row>
    <row r="797" spans="2:27" x14ac:dyDescent="0.25"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  <c r="AA797" s="216"/>
    </row>
    <row r="798" spans="2:27" x14ac:dyDescent="0.25"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</row>
    <row r="799" spans="2:27" x14ac:dyDescent="0.25"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  <c r="AA799" s="216"/>
    </row>
    <row r="800" spans="2:27" x14ac:dyDescent="0.25"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</row>
    <row r="801" spans="2:27" x14ac:dyDescent="0.25"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  <c r="AA801" s="216"/>
    </row>
    <row r="802" spans="2:27" x14ac:dyDescent="0.25"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</row>
    <row r="803" spans="2:27" x14ac:dyDescent="0.25"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  <c r="AA803" s="216"/>
    </row>
    <row r="804" spans="2:27" x14ac:dyDescent="0.25"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</row>
    <row r="805" spans="2:27" x14ac:dyDescent="0.25"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  <c r="AA805" s="216"/>
    </row>
    <row r="806" spans="2:27" x14ac:dyDescent="0.25"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</row>
    <row r="807" spans="2:27" x14ac:dyDescent="0.25"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  <c r="AA807" s="216"/>
    </row>
    <row r="808" spans="2:27" x14ac:dyDescent="0.25"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</row>
    <row r="809" spans="2:27" x14ac:dyDescent="0.25"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  <c r="AA809" s="216"/>
    </row>
    <row r="810" spans="2:27" x14ac:dyDescent="0.25"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</row>
    <row r="811" spans="2:27" x14ac:dyDescent="0.25"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  <c r="AA811" s="216"/>
    </row>
    <row r="812" spans="2:27" x14ac:dyDescent="0.25"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</row>
    <row r="813" spans="2:27" x14ac:dyDescent="0.25"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  <c r="AA813" s="216"/>
    </row>
    <row r="814" spans="2:27" x14ac:dyDescent="0.25"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</row>
    <row r="815" spans="2:27" x14ac:dyDescent="0.25"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  <c r="AA815" s="216"/>
    </row>
    <row r="816" spans="2:27" x14ac:dyDescent="0.25"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</row>
    <row r="817" spans="2:27" x14ac:dyDescent="0.25"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  <c r="AA817" s="216"/>
    </row>
    <row r="818" spans="2:27" x14ac:dyDescent="0.25"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</row>
    <row r="819" spans="2:27" x14ac:dyDescent="0.25"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  <c r="AA819" s="216"/>
    </row>
    <row r="820" spans="2:27" x14ac:dyDescent="0.25"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</row>
    <row r="821" spans="2:27" x14ac:dyDescent="0.25"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  <c r="AA821" s="216"/>
    </row>
    <row r="822" spans="2:27" x14ac:dyDescent="0.25"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</row>
    <row r="823" spans="2:27" x14ac:dyDescent="0.25"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  <c r="AA823" s="216"/>
    </row>
    <row r="824" spans="2:27" x14ac:dyDescent="0.25"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</row>
    <row r="825" spans="2:27" x14ac:dyDescent="0.25"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  <c r="AA825" s="216"/>
    </row>
    <row r="826" spans="2:27" x14ac:dyDescent="0.25"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</row>
    <row r="827" spans="2:27" x14ac:dyDescent="0.25"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  <c r="AA827" s="216"/>
    </row>
    <row r="828" spans="2:27" x14ac:dyDescent="0.25"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</row>
    <row r="829" spans="2:27" x14ac:dyDescent="0.25"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  <c r="AA829" s="216"/>
    </row>
    <row r="830" spans="2:27" x14ac:dyDescent="0.25"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</row>
    <row r="831" spans="2:27" x14ac:dyDescent="0.25"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  <c r="AA831" s="216"/>
    </row>
    <row r="832" spans="2:27" x14ac:dyDescent="0.25"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</row>
    <row r="833" spans="2:27" x14ac:dyDescent="0.25"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  <c r="AA833" s="216"/>
    </row>
    <row r="834" spans="2:27" x14ac:dyDescent="0.25"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</row>
    <row r="835" spans="2:27" x14ac:dyDescent="0.25"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  <c r="AA835" s="216"/>
    </row>
    <row r="836" spans="2:27" x14ac:dyDescent="0.25"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</row>
    <row r="837" spans="2:27" x14ac:dyDescent="0.25"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  <c r="AA837" s="216"/>
    </row>
    <row r="838" spans="2:27" x14ac:dyDescent="0.25"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</row>
    <row r="839" spans="2:27" x14ac:dyDescent="0.25"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  <c r="AA839" s="216"/>
    </row>
    <row r="840" spans="2:27" x14ac:dyDescent="0.25"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</row>
    <row r="841" spans="2:27" x14ac:dyDescent="0.25"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  <c r="AA841" s="216"/>
    </row>
    <row r="842" spans="2:27" x14ac:dyDescent="0.25"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</row>
    <row r="843" spans="2:27" x14ac:dyDescent="0.25"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  <c r="AA843" s="216"/>
    </row>
    <row r="844" spans="2:27" x14ac:dyDescent="0.25"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</row>
    <row r="845" spans="2:27" x14ac:dyDescent="0.25"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  <c r="AA845" s="216"/>
    </row>
    <row r="846" spans="2:27" x14ac:dyDescent="0.25"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</row>
    <row r="847" spans="2:27" x14ac:dyDescent="0.25"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  <c r="AA847" s="216"/>
    </row>
    <row r="848" spans="2:27" x14ac:dyDescent="0.25"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</row>
    <row r="849" spans="2:27" x14ac:dyDescent="0.25"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  <c r="AA849" s="216"/>
    </row>
    <row r="850" spans="2:27" x14ac:dyDescent="0.25"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</row>
    <row r="851" spans="2:27" x14ac:dyDescent="0.25"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  <c r="AA851" s="216"/>
    </row>
    <row r="852" spans="2:27" x14ac:dyDescent="0.25"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</row>
    <row r="853" spans="2:27" x14ac:dyDescent="0.25"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  <c r="AA853" s="216"/>
    </row>
    <row r="854" spans="2:27" x14ac:dyDescent="0.25"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</row>
    <row r="855" spans="2:27" x14ac:dyDescent="0.25"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  <c r="AA855" s="216"/>
    </row>
    <row r="856" spans="2:27" x14ac:dyDescent="0.25"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</row>
    <row r="857" spans="2:27" x14ac:dyDescent="0.25"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  <c r="AA857" s="216"/>
    </row>
    <row r="858" spans="2:27" x14ac:dyDescent="0.25"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</row>
    <row r="859" spans="2:27" x14ac:dyDescent="0.25"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</row>
    <row r="860" spans="2:27" x14ac:dyDescent="0.25"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</row>
    <row r="861" spans="2:27" x14ac:dyDescent="0.25"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  <c r="AA861" s="216"/>
    </row>
    <row r="862" spans="2:27" x14ac:dyDescent="0.25"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</row>
    <row r="863" spans="2:27" x14ac:dyDescent="0.25"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  <c r="AA863" s="216"/>
    </row>
    <row r="864" spans="2:27" x14ac:dyDescent="0.25"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</row>
    <row r="865" spans="2:27" x14ac:dyDescent="0.25"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  <c r="AA865" s="216"/>
    </row>
    <row r="866" spans="2:27" x14ac:dyDescent="0.25"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</row>
    <row r="867" spans="2:27" x14ac:dyDescent="0.25"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  <c r="AA867" s="216"/>
    </row>
    <row r="868" spans="2:27" x14ac:dyDescent="0.25"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</row>
    <row r="869" spans="2:27" x14ac:dyDescent="0.25"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  <c r="AA869" s="216"/>
    </row>
    <row r="870" spans="2:27" x14ac:dyDescent="0.25"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</row>
    <row r="871" spans="2:27" x14ac:dyDescent="0.25"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  <c r="AA871" s="216"/>
    </row>
    <row r="872" spans="2:27" x14ac:dyDescent="0.25"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</row>
    <row r="873" spans="2:27" x14ac:dyDescent="0.25"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  <c r="AA873" s="216"/>
    </row>
    <row r="874" spans="2:27" x14ac:dyDescent="0.25"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</row>
    <row r="875" spans="2:27" x14ac:dyDescent="0.25"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  <c r="AA875" s="216"/>
    </row>
    <row r="876" spans="2:27" x14ac:dyDescent="0.25"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</row>
    <row r="877" spans="2:27" x14ac:dyDescent="0.25"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  <c r="AA877" s="216"/>
    </row>
    <row r="878" spans="2:27" x14ac:dyDescent="0.25"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</row>
    <row r="879" spans="2:27" x14ac:dyDescent="0.25"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  <c r="AA879" s="216"/>
    </row>
    <row r="880" spans="2:27" x14ac:dyDescent="0.25"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</row>
    <row r="881" spans="2:27" x14ac:dyDescent="0.25"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  <c r="AA881" s="216"/>
    </row>
    <row r="882" spans="2:27" x14ac:dyDescent="0.25"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</row>
    <row r="883" spans="2:27" x14ac:dyDescent="0.25"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  <c r="AA883" s="216"/>
    </row>
    <row r="884" spans="2:27" x14ac:dyDescent="0.25"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</row>
    <row r="885" spans="2:27" x14ac:dyDescent="0.25"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  <c r="AA885" s="216"/>
    </row>
    <row r="886" spans="2:27" x14ac:dyDescent="0.25"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</row>
    <row r="887" spans="2:27" x14ac:dyDescent="0.25"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</row>
    <row r="888" spans="2:27" x14ac:dyDescent="0.25"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</row>
    <row r="889" spans="2:27" x14ac:dyDescent="0.25"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  <c r="AA889" s="216"/>
    </row>
    <row r="890" spans="2:27" x14ac:dyDescent="0.25"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</row>
    <row r="891" spans="2:27" x14ac:dyDescent="0.25"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  <c r="AA891" s="216"/>
    </row>
    <row r="892" spans="2:27" x14ac:dyDescent="0.25"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</row>
    <row r="893" spans="2:27" x14ac:dyDescent="0.25"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  <c r="AA893" s="216"/>
    </row>
    <row r="894" spans="2:27" x14ac:dyDescent="0.25"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</row>
    <row r="895" spans="2:27" x14ac:dyDescent="0.25"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  <c r="AA895" s="216"/>
    </row>
    <row r="896" spans="2:27" x14ac:dyDescent="0.25"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</row>
    <row r="897" spans="2:27" x14ac:dyDescent="0.25"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  <c r="AA897" s="216"/>
    </row>
    <row r="898" spans="2:27" x14ac:dyDescent="0.25"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</row>
    <row r="899" spans="2:27" x14ac:dyDescent="0.25"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  <c r="AA899" s="216"/>
    </row>
    <row r="900" spans="2:27" x14ac:dyDescent="0.25"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</row>
    <row r="901" spans="2:27" x14ac:dyDescent="0.25"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  <c r="AA901" s="216"/>
    </row>
    <row r="902" spans="2:27" x14ac:dyDescent="0.25"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</row>
    <row r="903" spans="2:27" x14ac:dyDescent="0.25"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  <c r="AA903" s="216"/>
    </row>
    <row r="904" spans="2:27" x14ac:dyDescent="0.25"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</row>
    <row r="905" spans="2:27" x14ac:dyDescent="0.25"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  <c r="AA905" s="216"/>
    </row>
    <row r="906" spans="2:27" x14ac:dyDescent="0.25"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</row>
    <row r="907" spans="2:27" x14ac:dyDescent="0.25"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  <c r="AA907" s="216"/>
    </row>
    <row r="908" spans="2:27" x14ac:dyDescent="0.25"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</row>
    <row r="909" spans="2:27" x14ac:dyDescent="0.25"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  <c r="AA909" s="216"/>
    </row>
    <row r="910" spans="2:27" x14ac:dyDescent="0.25"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</row>
    <row r="911" spans="2:27" x14ac:dyDescent="0.25"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  <c r="AA911" s="216"/>
    </row>
    <row r="912" spans="2:27" x14ac:dyDescent="0.25"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</row>
    <row r="913" spans="2:27" x14ac:dyDescent="0.25"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  <c r="AA913" s="216"/>
    </row>
    <row r="914" spans="2:27" x14ac:dyDescent="0.25"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</row>
    <row r="915" spans="2:27" x14ac:dyDescent="0.25"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  <c r="AA915" s="216"/>
    </row>
    <row r="916" spans="2:27" x14ac:dyDescent="0.25"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</row>
    <row r="917" spans="2:27" x14ac:dyDescent="0.25"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  <c r="AA917" s="216"/>
    </row>
    <row r="918" spans="2:27" x14ac:dyDescent="0.25"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</row>
    <row r="919" spans="2:27" x14ac:dyDescent="0.25"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  <c r="AA919" s="216"/>
    </row>
    <row r="920" spans="2:27" x14ac:dyDescent="0.25"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</row>
    <row r="921" spans="2:27" x14ac:dyDescent="0.25"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  <c r="AA921" s="216"/>
    </row>
    <row r="922" spans="2:27" x14ac:dyDescent="0.25"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</row>
    <row r="923" spans="2:27" x14ac:dyDescent="0.25"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  <c r="AA923" s="216"/>
    </row>
    <row r="924" spans="2:27" x14ac:dyDescent="0.25"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</row>
    <row r="925" spans="2:27" x14ac:dyDescent="0.25"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  <c r="AA925" s="216"/>
    </row>
    <row r="926" spans="2:27" x14ac:dyDescent="0.25"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</row>
    <row r="927" spans="2:27" x14ac:dyDescent="0.25"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  <c r="AA927" s="216"/>
    </row>
    <row r="928" spans="2:27" x14ac:dyDescent="0.25"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</row>
    <row r="929" spans="2:27" x14ac:dyDescent="0.25"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  <c r="AA929" s="216"/>
    </row>
    <row r="930" spans="2:27" x14ac:dyDescent="0.25"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</row>
    <row r="931" spans="2:27" x14ac:dyDescent="0.25"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  <c r="AA931" s="216"/>
    </row>
    <row r="932" spans="2:27" x14ac:dyDescent="0.25"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</row>
    <row r="933" spans="2:27" x14ac:dyDescent="0.25"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  <c r="AA933" s="216"/>
    </row>
    <row r="934" spans="2:27" x14ac:dyDescent="0.25"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</row>
    <row r="935" spans="2:27" x14ac:dyDescent="0.25"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  <c r="AA935" s="216"/>
    </row>
    <row r="936" spans="2:27" x14ac:dyDescent="0.25"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</row>
    <row r="937" spans="2:27" x14ac:dyDescent="0.25"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  <c r="AA937" s="216"/>
    </row>
    <row r="938" spans="2:27" x14ac:dyDescent="0.25"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</row>
    <row r="939" spans="2:27" x14ac:dyDescent="0.25"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  <c r="AA939" s="216"/>
    </row>
    <row r="940" spans="2:27" x14ac:dyDescent="0.25"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</row>
    <row r="941" spans="2:27" x14ac:dyDescent="0.25"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  <c r="AA941" s="216"/>
    </row>
    <row r="942" spans="2:27" x14ac:dyDescent="0.25"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</row>
    <row r="943" spans="2:27" x14ac:dyDescent="0.25"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  <c r="AA943" s="216"/>
    </row>
    <row r="944" spans="2:27" x14ac:dyDescent="0.25"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</row>
    <row r="945" spans="2:27" x14ac:dyDescent="0.25"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  <c r="AA945" s="216"/>
    </row>
    <row r="946" spans="2:27" x14ac:dyDescent="0.25"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  <c r="AA946" s="216"/>
    </row>
    <row r="947" spans="2:27" x14ac:dyDescent="0.25"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  <c r="AA947" s="216"/>
    </row>
    <row r="948" spans="2:27" x14ac:dyDescent="0.25"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  <c r="AA948" s="216"/>
    </row>
    <row r="949" spans="2:27" x14ac:dyDescent="0.25"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  <c r="AA949" s="216"/>
    </row>
    <row r="950" spans="2:27" x14ac:dyDescent="0.25"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  <c r="AA950" s="216"/>
    </row>
    <row r="951" spans="2:27" x14ac:dyDescent="0.25"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  <c r="AA951" s="216"/>
    </row>
    <row r="952" spans="2:27" x14ac:dyDescent="0.25"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  <c r="AA952" s="216"/>
    </row>
    <row r="953" spans="2:27" x14ac:dyDescent="0.25"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  <c r="AA953" s="216"/>
    </row>
    <row r="954" spans="2:27" x14ac:dyDescent="0.25"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  <c r="AA954" s="216"/>
    </row>
    <row r="955" spans="2:27" x14ac:dyDescent="0.25"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  <c r="AA955" s="216"/>
    </row>
    <row r="956" spans="2:27" x14ac:dyDescent="0.25"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  <c r="AA956" s="216"/>
    </row>
    <row r="957" spans="2:27" x14ac:dyDescent="0.25"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  <c r="AA957" s="216"/>
    </row>
    <row r="958" spans="2:27" x14ac:dyDescent="0.25"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</row>
    <row r="959" spans="2:27" x14ac:dyDescent="0.25"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  <c r="AA959" s="216"/>
    </row>
    <row r="960" spans="2:27" x14ac:dyDescent="0.25"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</row>
    <row r="961" spans="2:27" x14ac:dyDescent="0.25"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  <c r="AA961" s="216"/>
    </row>
    <row r="962" spans="2:27" x14ac:dyDescent="0.25"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</row>
    <row r="963" spans="2:27" x14ac:dyDescent="0.25"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  <c r="AA963" s="216"/>
    </row>
    <row r="964" spans="2:27" x14ac:dyDescent="0.25"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</row>
    <row r="965" spans="2:27" x14ac:dyDescent="0.25"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  <c r="AA965" s="216"/>
    </row>
    <row r="966" spans="2:27" x14ac:dyDescent="0.25"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</row>
    <row r="967" spans="2:27" x14ac:dyDescent="0.25"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  <c r="AA967" s="216"/>
    </row>
    <row r="968" spans="2:27" x14ac:dyDescent="0.25"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</row>
    <row r="969" spans="2:27" x14ac:dyDescent="0.25"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  <c r="AA969" s="216"/>
    </row>
    <row r="970" spans="2:27" x14ac:dyDescent="0.25"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</row>
    <row r="971" spans="2:27" x14ac:dyDescent="0.25"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  <c r="AA971" s="216"/>
    </row>
    <row r="972" spans="2:27" x14ac:dyDescent="0.25"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</row>
    <row r="973" spans="2:27" x14ac:dyDescent="0.25"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  <c r="AA973" s="216"/>
    </row>
    <row r="974" spans="2:27" x14ac:dyDescent="0.25"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</row>
    <row r="975" spans="2:27" x14ac:dyDescent="0.25"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  <c r="AA975" s="216"/>
    </row>
    <row r="976" spans="2:27" x14ac:dyDescent="0.25"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</row>
    <row r="977" spans="2:27" x14ac:dyDescent="0.25"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  <c r="AA977" s="216"/>
    </row>
    <row r="978" spans="2:27" x14ac:dyDescent="0.25"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</row>
    <row r="979" spans="2:27" x14ac:dyDescent="0.25"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  <c r="AA979" s="216"/>
    </row>
    <row r="980" spans="2:27" x14ac:dyDescent="0.25"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</row>
    <row r="981" spans="2:27" x14ac:dyDescent="0.25"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  <c r="AA981" s="216"/>
    </row>
    <row r="982" spans="2:27" x14ac:dyDescent="0.25"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</row>
    <row r="983" spans="2:27" x14ac:dyDescent="0.25"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  <c r="AA983" s="216"/>
    </row>
    <row r="984" spans="2:27" x14ac:dyDescent="0.25"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</row>
    <row r="985" spans="2:27" x14ac:dyDescent="0.25"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  <c r="AA985" s="216"/>
    </row>
    <row r="986" spans="2:27" x14ac:dyDescent="0.25"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</row>
    <row r="987" spans="2:27" x14ac:dyDescent="0.25"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  <c r="AA987" s="216"/>
    </row>
    <row r="988" spans="2:27" x14ac:dyDescent="0.25"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</row>
    <row r="989" spans="2:27" x14ac:dyDescent="0.25"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  <c r="AA989" s="216"/>
    </row>
    <row r="990" spans="2:27" x14ac:dyDescent="0.25"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  <c r="AA990" s="216"/>
    </row>
    <row r="991" spans="2:27" x14ac:dyDescent="0.25"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  <c r="AA991" s="216"/>
    </row>
    <row r="992" spans="2:27" x14ac:dyDescent="0.25"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  <c r="AA992" s="216"/>
    </row>
    <row r="993" spans="2:27" x14ac:dyDescent="0.25"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  <c r="AA993" s="216"/>
    </row>
    <row r="994" spans="2:27" x14ac:dyDescent="0.25"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  <c r="AA994" s="216"/>
    </row>
    <row r="995" spans="2:27" x14ac:dyDescent="0.25"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  <c r="AA995" s="216"/>
    </row>
    <row r="996" spans="2:27" x14ac:dyDescent="0.25"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  <c r="AA996" s="216"/>
    </row>
    <row r="997" spans="2:27" x14ac:dyDescent="0.25"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  <c r="AA997" s="216"/>
    </row>
    <row r="998" spans="2:27" x14ac:dyDescent="0.25"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  <c r="AA998" s="216"/>
    </row>
    <row r="999" spans="2:27" x14ac:dyDescent="0.25"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  <c r="AA999" s="216"/>
    </row>
    <row r="1000" spans="2:27" x14ac:dyDescent="0.25">
      <c r="B1000" s="216"/>
      <c r="C1000" s="216"/>
      <c r="D1000" s="216"/>
      <c r="E1000" s="216"/>
      <c r="F1000" s="216"/>
      <c r="G1000" s="216"/>
      <c r="H1000" s="216"/>
      <c r="I1000" s="216"/>
      <c r="J1000" s="216"/>
      <c r="K1000" s="216"/>
      <c r="L1000" s="216"/>
      <c r="M1000" s="216"/>
      <c r="N1000" s="216"/>
      <c r="O1000" s="216"/>
      <c r="P1000" s="216"/>
      <c r="Q1000" s="216"/>
      <c r="R1000" s="216"/>
      <c r="S1000" s="216"/>
      <c r="T1000" s="216"/>
      <c r="U1000" s="216"/>
      <c r="V1000" s="216"/>
      <c r="W1000" s="216"/>
      <c r="X1000" s="216"/>
      <c r="Y1000" s="216"/>
      <c r="Z1000" s="216"/>
      <c r="AA1000" s="216"/>
    </row>
    <row r="1001" spans="2:27" x14ac:dyDescent="0.25">
      <c r="B1001" s="216"/>
      <c r="C1001" s="216"/>
      <c r="D1001" s="216"/>
      <c r="E1001" s="216"/>
      <c r="F1001" s="216"/>
      <c r="G1001" s="216"/>
      <c r="H1001" s="216"/>
      <c r="I1001" s="216"/>
      <c r="J1001" s="216"/>
      <c r="K1001" s="216"/>
      <c r="L1001" s="216"/>
      <c r="M1001" s="216"/>
      <c r="N1001" s="216"/>
      <c r="O1001" s="216"/>
      <c r="P1001" s="216"/>
      <c r="Q1001" s="216"/>
      <c r="R1001" s="216"/>
      <c r="S1001" s="216"/>
      <c r="T1001" s="216"/>
      <c r="U1001" s="216"/>
      <c r="V1001" s="216"/>
      <c r="W1001" s="216"/>
      <c r="X1001" s="216"/>
      <c r="Y1001" s="216"/>
      <c r="Z1001" s="216"/>
      <c r="AA1001" s="216"/>
    </row>
    <row r="1002" spans="2:27" x14ac:dyDescent="0.25">
      <c r="B1002" s="216"/>
      <c r="C1002" s="216"/>
      <c r="D1002" s="216"/>
      <c r="E1002" s="216"/>
      <c r="F1002" s="216"/>
      <c r="G1002" s="216"/>
      <c r="H1002" s="216"/>
      <c r="I1002" s="216"/>
      <c r="J1002" s="216"/>
      <c r="K1002" s="216"/>
      <c r="L1002" s="216"/>
      <c r="M1002" s="216"/>
      <c r="N1002" s="216"/>
      <c r="O1002" s="216"/>
      <c r="P1002" s="216"/>
      <c r="Q1002" s="216"/>
      <c r="R1002" s="216"/>
      <c r="S1002" s="216"/>
      <c r="T1002" s="216"/>
      <c r="U1002" s="216"/>
      <c r="V1002" s="216"/>
      <c r="W1002" s="216"/>
      <c r="X1002" s="216"/>
      <c r="Y1002" s="216"/>
      <c r="Z1002" s="216"/>
      <c r="AA1002" s="2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45F2-FBB9-6743-BB38-B11D5C4AE7DE}">
  <sheetPr>
    <tabColor theme="0" tint="-0.14999847407452621"/>
  </sheetPr>
  <dimension ref="A1:S163"/>
  <sheetViews>
    <sheetView showGridLines="0" topLeftCell="A84" zoomScaleNormal="100" zoomScaleSheetLayoutView="84" zoomScalePageLayoutView="70" workbookViewId="0">
      <selection activeCell="M103" sqref="M103"/>
    </sheetView>
  </sheetViews>
  <sheetFormatPr defaultColWidth="11" defaultRowHeight="15.75" outlineLevelRow="1" x14ac:dyDescent="0.25"/>
  <cols>
    <col min="1" max="1" width="2.875" style="5" customWidth="1"/>
    <col min="2" max="2" width="2.875" customWidth="1"/>
    <col min="3" max="3" width="17" bestFit="1" customWidth="1"/>
    <col min="5" max="5" width="21" bestFit="1" customWidth="1"/>
    <col min="6" max="18" width="12.875" customWidth="1"/>
    <col min="19" max="20" width="2.875" customWidth="1"/>
  </cols>
  <sheetData>
    <row r="1" spans="1:18" s="1" customFormat="1" x14ac:dyDescent="0.25">
      <c r="A1" s="4"/>
    </row>
    <row r="2" spans="1:18" s="1" customFormat="1" x14ac:dyDescent="0.25">
      <c r="A2" s="4"/>
    </row>
    <row r="3" spans="1:18" s="1" customFormat="1" ht="26.25" x14ac:dyDescent="0.4">
      <c r="A3" s="4"/>
      <c r="C3" s="3" t="s">
        <v>3</v>
      </c>
    </row>
    <row r="6" spans="1:18" x14ac:dyDescent="0.25">
      <c r="A6" s="5" t="s">
        <v>5</v>
      </c>
      <c r="C6" s="2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8" spans="1:18" x14ac:dyDescent="0.25">
      <c r="C8" t="s">
        <v>12</v>
      </c>
      <c r="E8" s="11" t="s">
        <v>250</v>
      </c>
      <c r="G8" t="s">
        <v>90</v>
      </c>
      <c r="H8" s="35"/>
      <c r="I8" s="64">
        <f ca="1">R108</f>
        <v>418.12578448597282</v>
      </c>
      <c r="K8" t="s">
        <v>281</v>
      </c>
      <c r="L8" s="35"/>
      <c r="M8" s="64">
        <f ca="1">O108</f>
        <v>321.97828358724257</v>
      </c>
    </row>
    <row r="9" spans="1:18" x14ac:dyDescent="0.25">
      <c r="C9" t="s">
        <v>11</v>
      </c>
      <c r="E9" s="11" t="s">
        <v>249</v>
      </c>
      <c r="G9" t="s">
        <v>15</v>
      </c>
      <c r="I9" s="14">
        <f ca="1">I8/E11-1</f>
        <v>0.64525767091356268</v>
      </c>
      <c r="K9" t="s">
        <v>15</v>
      </c>
      <c r="M9" s="14">
        <f ca="1">M8/E11-1</f>
        <v>0.26693272836720938</v>
      </c>
    </row>
    <row r="10" spans="1:18" x14ac:dyDescent="0.25">
      <c r="C10" t="s">
        <v>13</v>
      </c>
      <c r="E10" s="12">
        <v>46076</v>
      </c>
    </row>
    <row r="11" spans="1:18" x14ac:dyDescent="0.25">
      <c r="C11" t="s">
        <v>14</v>
      </c>
      <c r="E11" s="13" cm="1" vm="1">
        <f t="array" aca="1" ref="E11" ca="1">_xlfn.STOCKHISTORY(E9,E10,E10,0,0,2)</f>
        <v>254.14</v>
      </c>
    </row>
    <row r="13" spans="1:18" x14ac:dyDescent="0.25">
      <c r="A13" s="5" t="s">
        <v>5</v>
      </c>
      <c r="C13" s="2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5" spans="1:18" x14ac:dyDescent="0.25">
      <c r="C15" s="15" t="s">
        <v>16</v>
      </c>
      <c r="G15" s="15" t="s">
        <v>19</v>
      </c>
      <c r="H15" s="17" t="s">
        <v>17</v>
      </c>
      <c r="I15" s="17" t="s">
        <v>18</v>
      </c>
      <c r="K15" s="15" t="s">
        <v>20</v>
      </c>
      <c r="L15" s="17" t="s">
        <v>17</v>
      </c>
      <c r="M15" s="17" t="s">
        <v>18</v>
      </c>
      <c r="N15" s="17"/>
      <c r="O15" s="15" t="s">
        <v>21</v>
      </c>
      <c r="P15" s="17" t="s">
        <v>17</v>
      </c>
      <c r="Q15" s="17" t="s">
        <v>18</v>
      </c>
    </row>
    <row r="16" spans="1:18" x14ac:dyDescent="0.25">
      <c r="C16" t="s">
        <v>56</v>
      </c>
      <c r="E16" s="10">
        <v>1</v>
      </c>
      <c r="G16" t="s">
        <v>57</v>
      </c>
      <c r="H16" s="34" t="s">
        <v>280</v>
      </c>
      <c r="I16" s="37">
        <v>-0.4</v>
      </c>
      <c r="O16" t="s">
        <v>57</v>
      </c>
      <c r="P16" s="34" t="s">
        <v>280</v>
      </c>
      <c r="Q16" s="37">
        <v>0.2</v>
      </c>
    </row>
    <row r="17" spans="1:18" x14ac:dyDescent="0.25">
      <c r="C17" t="s">
        <v>72</v>
      </c>
      <c r="E17" s="42">
        <f>CHOOSE(scen,M18,I18,Q18)</f>
        <v>0.1028051459393808</v>
      </c>
      <c r="G17" t="s">
        <v>58</v>
      </c>
      <c r="H17" s="34" t="s">
        <v>280</v>
      </c>
      <c r="I17" s="37">
        <v>-0.1</v>
      </c>
      <c r="O17" t="s">
        <v>58</v>
      </c>
      <c r="P17" s="34" t="s">
        <v>280</v>
      </c>
      <c r="Q17" s="37">
        <v>0.05</v>
      </c>
    </row>
    <row r="18" spans="1:18" x14ac:dyDescent="0.25">
      <c r="C18" t="s">
        <v>89</v>
      </c>
      <c r="E18" s="42">
        <f>CHOOSE(scen,M19,I19,Q19)</f>
        <v>2.5000000000000001E-2</v>
      </c>
      <c r="G18" t="s">
        <v>72</v>
      </c>
      <c r="H18" s="34"/>
      <c r="I18" s="37">
        <f>M18+0.75%</f>
        <v>0.11030514593938079</v>
      </c>
      <c r="K18" t="s">
        <v>72</v>
      </c>
      <c r="M18" s="52">
        <f>WACC!D21</f>
        <v>0.1028051459393808</v>
      </c>
      <c r="O18" t="s">
        <v>72</v>
      </c>
      <c r="P18" s="34"/>
      <c r="Q18" s="37">
        <f>M18-0.5%</f>
        <v>9.7805145939380791E-2</v>
      </c>
    </row>
    <row r="19" spans="1:18" x14ac:dyDescent="0.25">
      <c r="G19" t="s">
        <v>89</v>
      </c>
      <c r="H19" s="34"/>
      <c r="I19" s="37">
        <v>2.1999999999999999E-2</v>
      </c>
      <c r="K19" t="s">
        <v>89</v>
      </c>
      <c r="L19" s="34"/>
      <c r="M19" s="37">
        <v>2.5000000000000001E-2</v>
      </c>
      <c r="O19" t="s">
        <v>89</v>
      </c>
      <c r="P19" s="34"/>
      <c r="Q19" s="37">
        <v>2.8000000000000001E-2</v>
      </c>
    </row>
    <row r="21" spans="1:18" x14ac:dyDescent="0.25">
      <c r="A21" s="5" t="s">
        <v>5</v>
      </c>
      <c r="C21" s="2" t="s">
        <v>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3" spans="1:18" ht="18" x14ac:dyDescent="0.4">
      <c r="C23" s="6"/>
      <c r="D23" s="6"/>
      <c r="E23" s="6"/>
      <c r="F23" s="6"/>
      <c r="G23" s="6"/>
      <c r="H23" s="7" t="s">
        <v>8</v>
      </c>
      <c r="I23" s="8"/>
      <c r="J23" s="8"/>
      <c r="K23" s="8"/>
      <c r="L23" s="8"/>
      <c r="M23" s="9" t="s">
        <v>9</v>
      </c>
      <c r="N23" s="9"/>
      <c r="O23" s="9"/>
      <c r="P23" s="9"/>
      <c r="Q23" s="9"/>
      <c r="R23" s="9"/>
    </row>
    <row r="24" spans="1:18" x14ac:dyDescent="0.25">
      <c r="C24" s="39" t="s">
        <v>91</v>
      </c>
      <c r="D24" s="39"/>
      <c r="E24" s="39"/>
      <c r="F24" s="39"/>
      <c r="G24" s="39"/>
      <c r="H24" s="39">
        <v>2021</v>
      </c>
      <c r="I24" s="39">
        <f>+H24+1</f>
        <v>2022</v>
      </c>
      <c r="J24" s="39">
        <f t="shared" ref="J24:R24" si="0">+I24+1</f>
        <v>2023</v>
      </c>
      <c r="K24" s="39">
        <f t="shared" si="0"/>
        <v>2024</v>
      </c>
      <c r="L24" s="39">
        <f t="shared" si="0"/>
        <v>2025</v>
      </c>
      <c r="M24" s="40">
        <f t="shared" si="0"/>
        <v>2026</v>
      </c>
      <c r="N24" s="40">
        <f t="shared" si="0"/>
        <v>2027</v>
      </c>
      <c r="O24" s="40">
        <f t="shared" si="0"/>
        <v>2028</v>
      </c>
      <c r="P24" s="40">
        <f t="shared" si="0"/>
        <v>2029</v>
      </c>
      <c r="Q24" s="40">
        <f t="shared" si="0"/>
        <v>2030</v>
      </c>
      <c r="R24" s="40">
        <f t="shared" si="0"/>
        <v>2031</v>
      </c>
    </row>
    <row r="25" spans="1:18" x14ac:dyDescent="0.25">
      <c r="C25" t="s">
        <v>25</v>
      </c>
      <c r="D25" s="21"/>
      <c r="E25" s="21"/>
      <c r="F25" s="21"/>
      <c r="G25" s="21"/>
      <c r="H25" s="36">
        <f>'IS - ADOBE'!B4</f>
        <v>15785</v>
      </c>
      <c r="I25" s="36">
        <f>'IS - ADOBE'!C4</f>
        <v>17606</v>
      </c>
      <c r="J25" s="36">
        <f>'IS - ADOBE'!D4</f>
        <v>19409</v>
      </c>
      <c r="K25" s="36">
        <f>'IS - ADOBE'!E4</f>
        <v>21505</v>
      </c>
      <c r="L25" s="36">
        <f>'IS - ADOBE'!F4</f>
        <v>23769</v>
      </c>
      <c r="M25" s="21">
        <f ca="1">L25*(1+M26)</f>
        <v>26270.110854935218</v>
      </c>
      <c r="N25" s="21">
        <f t="shared" ref="N25:R25" ca="1" si="1">M25*(1+N26)</f>
        <v>29034.402975749301</v>
      </c>
      <c r="O25" s="21">
        <f t="shared" ca="1" si="1"/>
        <v>32089.569808565575</v>
      </c>
      <c r="P25" s="21">
        <f t="shared" ca="1" si="1"/>
        <v>35466.218863149479</v>
      </c>
      <c r="Q25" s="21">
        <f t="shared" ca="1" si="1"/>
        <v>39198.178347441259</v>
      </c>
      <c r="R25" s="21">
        <f t="shared" ca="1" si="1"/>
        <v>43322.836067937365</v>
      </c>
    </row>
    <row r="26" spans="1:18" s="19" customFormat="1" x14ac:dyDescent="0.25">
      <c r="A26" s="18"/>
      <c r="C26" s="20" t="s">
        <v>26</v>
      </c>
      <c r="D26" s="22"/>
      <c r="E26" s="22"/>
      <c r="F26" s="22"/>
      <c r="G26" s="22"/>
      <c r="H26" s="22"/>
      <c r="I26" s="29">
        <f>I25/H25-1</f>
        <v>0.11536268609439349</v>
      </c>
      <c r="J26" s="29">
        <f t="shared" ref="J26:K26" si="2">J25/I25-1</f>
        <v>0.10240826990798602</v>
      </c>
      <c r="K26" s="29">
        <f t="shared" si="2"/>
        <v>0.10799113813179462</v>
      </c>
      <c r="L26" s="29">
        <f>L25/K25-1</f>
        <v>0.10527784236224136</v>
      </c>
      <c r="M26" s="29">
        <f ca="1">OFFSET(M26,scen,0)</f>
        <v>0.10522575013400733</v>
      </c>
      <c r="N26" s="29">
        <f t="shared" ref="N26:R26" ca="1" si="3">OFFSET(N26,scen,0)</f>
        <v>0.10522575013400733</v>
      </c>
      <c r="O26" s="29">
        <f t="shared" ca="1" si="3"/>
        <v>0.10522575013400733</v>
      </c>
      <c r="P26" s="29">
        <f t="shared" ca="1" si="3"/>
        <v>0.10522575013400733</v>
      </c>
      <c r="Q26" s="29">
        <f t="shared" ca="1" si="3"/>
        <v>0.10522575013400733</v>
      </c>
      <c r="R26" s="29">
        <f t="shared" ca="1" si="3"/>
        <v>0.10522575013400733</v>
      </c>
    </row>
    <row r="27" spans="1:18" s="19" customFormat="1" x14ac:dyDescent="0.25">
      <c r="A27" s="18"/>
      <c r="C27" s="20" t="s">
        <v>53</v>
      </c>
      <c r="D27" s="22"/>
      <c r="E27" s="22"/>
      <c r="F27" s="22"/>
      <c r="G27" s="22"/>
      <c r="H27" s="22"/>
      <c r="I27" s="29"/>
      <c r="J27" s="29"/>
      <c r="K27" s="29"/>
      <c r="L27" s="29"/>
      <c r="M27" s="211">
        <f>AVERAGE(J26:L26)</f>
        <v>0.10522575013400733</v>
      </c>
      <c r="N27" s="33">
        <f>M27</f>
        <v>0.10522575013400733</v>
      </c>
      <c r="O27" s="33">
        <f t="shared" ref="O27:R27" si="4">N27</f>
        <v>0.10522575013400733</v>
      </c>
      <c r="P27" s="33">
        <f t="shared" si="4"/>
        <v>0.10522575013400733</v>
      </c>
      <c r="Q27" s="33">
        <f t="shared" si="4"/>
        <v>0.10522575013400733</v>
      </c>
      <c r="R27" s="33">
        <f t="shared" si="4"/>
        <v>0.10522575013400733</v>
      </c>
    </row>
    <row r="28" spans="1:18" s="19" customFormat="1" x14ac:dyDescent="0.25">
      <c r="A28" s="18"/>
      <c r="C28" s="20" t="s">
        <v>54</v>
      </c>
      <c r="D28" s="22"/>
      <c r="E28" s="22"/>
      <c r="F28" s="22"/>
      <c r="G28" s="22"/>
      <c r="H28" s="22"/>
      <c r="I28" s="29"/>
      <c r="J28" s="29"/>
      <c r="K28" s="29"/>
      <c r="L28" s="29"/>
      <c r="M28" s="33">
        <f>M27*(1+I16)</f>
        <v>6.3135450080404387E-2</v>
      </c>
      <c r="N28" s="33">
        <f>M28-($M$28-$R$28)/($R$24-$M$24)</f>
        <v>5.5508360064323511E-2</v>
      </c>
      <c r="O28" s="33">
        <f t="shared" ref="O28:Q28" si="5">N28-($M$28-$R$28)/($R$24-$M$24)</f>
        <v>4.7881270048242636E-2</v>
      </c>
      <c r="P28" s="33">
        <f t="shared" si="5"/>
        <v>4.025418003216176E-2</v>
      </c>
      <c r="Q28" s="33">
        <f t="shared" si="5"/>
        <v>3.2627090016080884E-2</v>
      </c>
      <c r="R28" s="37">
        <v>2.5000000000000001E-2</v>
      </c>
    </row>
    <row r="29" spans="1:18" s="19" customFormat="1" x14ac:dyDescent="0.25">
      <c r="A29" s="18"/>
      <c r="C29" s="20" t="s">
        <v>55</v>
      </c>
      <c r="D29" s="22"/>
      <c r="E29" s="22"/>
      <c r="F29" s="22"/>
      <c r="G29" s="22"/>
      <c r="H29" s="22"/>
      <c r="I29" s="29"/>
      <c r="J29" s="29"/>
      <c r="K29" s="29"/>
      <c r="L29" s="29"/>
      <c r="M29" s="33">
        <f>M27*(1+Q16)</f>
        <v>0.12627090016080877</v>
      </c>
      <c r="N29" s="33">
        <f t="shared" ref="N29:R29" si="6">M29</f>
        <v>0.12627090016080877</v>
      </c>
      <c r="O29" s="33">
        <f t="shared" si="6"/>
        <v>0.12627090016080877</v>
      </c>
      <c r="P29" s="33">
        <f t="shared" si="6"/>
        <v>0.12627090016080877</v>
      </c>
      <c r="Q29" s="33">
        <f t="shared" si="6"/>
        <v>0.12627090016080877</v>
      </c>
      <c r="R29" s="33">
        <f t="shared" si="6"/>
        <v>0.12627090016080877</v>
      </c>
    </row>
    <row r="30" spans="1:18" x14ac:dyDescent="0.25"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x14ac:dyDescent="0.25">
      <c r="C31" t="s">
        <v>27</v>
      </c>
      <c r="D31" s="21"/>
      <c r="E31" s="21"/>
      <c r="F31" s="21"/>
      <c r="G31" s="21"/>
      <c r="H31" s="36">
        <f>'IS - ADOBE'!B6*-1</f>
        <v>-1865</v>
      </c>
      <c r="I31" s="36">
        <f>'IS - ADOBE'!C6*-1</f>
        <v>-2165</v>
      </c>
      <c r="J31" s="36">
        <f>'IS - ADOBE'!D6*-1</f>
        <v>-2354</v>
      </c>
      <c r="K31" s="36">
        <f>'IS - ADOBE'!E6*-1</f>
        <v>-2358</v>
      </c>
      <c r="L31" s="36">
        <f>'IS - ADOBE'!F6*-1</f>
        <v>-2551</v>
      </c>
      <c r="M31" s="21">
        <f ca="1">M33-M25</f>
        <v>-2772.5295286591681</v>
      </c>
      <c r="N31" s="21">
        <f t="shared" ref="N31:R31" ca="1" si="7">N33-N25</f>
        <v>-3012.3307641856736</v>
      </c>
      <c r="O31" s="21">
        <f t="shared" ca="1" si="7"/>
        <v>-3271.7849999387254</v>
      </c>
      <c r="P31" s="21">
        <f t="shared" ca="1" si="7"/>
        <v>-3552.3607151698416</v>
      </c>
      <c r="Q31" s="21">
        <f t="shared" ca="1" si="7"/>
        <v>-3855.6165005476214</v>
      </c>
      <c r="R31" s="21">
        <f t="shared" ca="1" si="7"/>
        <v>-4183.2036201890223</v>
      </c>
    </row>
    <row r="32" spans="1:18" x14ac:dyDescent="0.25"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 x14ac:dyDescent="0.25">
      <c r="C33" s="16" t="s">
        <v>29</v>
      </c>
      <c r="D33" s="30"/>
      <c r="E33" s="30"/>
      <c r="F33" s="30"/>
      <c r="G33" s="30"/>
      <c r="H33" s="30">
        <f>H25+H31</f>
        <v>13920</v>
      </c>
      <c r="I33" s="30">
        <f>I25+I31</f>
        <v>15441</v>
      </c>
      <c r="J33" s="30">
        <f>J25+J31</f>
        <v>17055</v>
      </c>
      <c r="K33" s="30">
        <f>K25+K31</f>
        <v>19147</v>
      </c>
      <c r="L33" s="30">
        <f>L25+L31</f>
        <v>21218</v>
      </c>
      <c r="M33" s="30">
        <f ca="1">M25*M34</f>
        <v>23497.581326276049</v>
      </c>
      <c r="N33" s="30">
        <f t="shared" ref="N33:R33" ca="1" si="8">N25*N34</f>
        <v>26022.072211563627</v>
      </c>
      <c r="O33" s="30">
        <f t="shared" ca="1" si="8"/>
        <v>28817.78480862685</v>
      </c>
      <c r="P33" s="30">
        <f t="shared" ca="1" si="8"/>
        <v>31913.858147979638</v>
      </c>
      <c r="Q33" s="30">
        <f t="shared" ca="1" si="8"/>
        <v>35342.561846893637</v>
      </c>
      <c r="R33" s="30">
        <f t="shared" ca="1" si="8"/>
        <v>39139.632447748343</v>
      </c>
    </row>
    <row r="34" spans="1:18" s="19" customFormat="1" x14ac:dyDescent="0.25">
      <c r="A34" s="18"/>
      <c r="C34" s="20" t="s">
        <v>30</v>
      </c>
      <c r="D34" s="22"/>
      <c r="E34" s="22"/>
      <c r="F34" s="22"/>
      <c r="G34" s="22"/>
      <c r="H34" s="29">
        <f>H33/H$25</f>
        <v>0.88184985745961353</v>
      </c>
      <c r="I34" s="29">
        <f t="shared" ref="I34:L34" si="9">I33/I$25</f>
        <v>0.87703055776439853</v>
      </c>
      <c r="J34" s="29">
        <f t="shared" si="9"/>
        <v>0.87871605955999799</v>
      </c>
      <c r="K34" s="29">
        <f t="shared" si="9"/>
        <v>0.89035108114392003</v>
      </c>
      <c r="L34" s="29">
        <f t="shared" si="9"/>
        <v>0.89267533341747651</v>
      </c>
      <c r="M34" s="29">
        <f ca="1">L34*(1+M35)</f>
        <v>0.89446068408431145</v>
      </c>
      <c r="N34" s="29">
        <f t="shared" ref="N34:R34" ca="1" si="10">M34*(1+N35)</f>
        <v>0.89624960545248011</v>
      </c>
      <c r="O34" s="29">
        <f t="shared" ca="1" si="10"/>
        <v>0.89804210466338508</v>
      </c>
      <c r="P34" s="29">
        <f t="shared" ca="1" si="10"/>
        <v>0.89983818887271183</v>
      </c>
      <c r="Q34" s="29">
        <f t="shared" ca="1" si="10"/>
        <v>0.9016378652504573</v>
      </c>
      <c r="R34" s="29">
        <f t="shared" ca="1" si="10"/>
        <v>0.90344114098095818</v>
      </c>
    </row>
    <row r="35" spans="1:18" s="19" customFormat="1" x14ac:dyDescent="0.25">
      <c r="A35" s="18"/>
      <c r="C35" s="20" t="s">
        <v>26</v>
      </c>
      <c r="D35" s="22"/>
      <c r="E35" s="22"/>
      <c r="F35" s="22"/>
      <c r="G35" s="22"/>
      <c r="H35" s="29"/>
      <c r="I35" s="29">
        <f>I34/H34-1</f>
        <v>-5.4649889144373631E-3</v>
      </c>
      <c r="J35" s="29">
        <f t="shared" ref="J35" si="11">J34/I34-1</f>
        <v>1.9218279006103511E-3</v>
      </c>
      <c r="K35" s="29">
        <f>K34/J34-1</f>
        <v>1.32409342669213E-2</v>
      </c>
      <c r="L35" s="29">
        <f>L34/K34-1</f>
        <v>2.6104896403005284E-3</v>
      </c>
      <c r="M35" s="29">
        <f t="shared" ref="M35:R35" ca="1" si="12">OFFSET(M35,scen,0)</f>
        <v>2E-3</v>
      </c>
      <c r="N35" s="29">
        <f t="shared" ca="1" si="12"/>
        <v>2E-3</v>
      </c>
      <c r="O35" s="29">
        <f t="shared" ca="1" si="12"/>
        <v>2E-3</v>
      </c>
      <c r="P35" s="29">
        <f t="shared" ca="1" si="12"/>
        <v>2E-3</v>
      </c>
      <c r="Q35" s="29">
        <f t="shared" ca="1" si="12"/>
        <v>2E-3</v>
      </c>
      <c r="R35" s="29">
        <f t="shared" ca="1" si="12"/>
        <v>2E-3</v>
      </c>
    </row>
    <row r="36" spans="1:18" s="19" customFormat="1" x14ac:dyDescent="0.25">
      <c r="A36" s="18"/>
      <c r="C36" s="20" t="s">
        <v>53</v>
      </c>
      <c r="D36" s="22"/>
      <c r="E36" s="22"/>
      <c r="F36" s="22"/>
      <c r="G36" s="22"/>
      <c r="H36" s="22"/>
      <c r="I36" s="29"/>
      <c r="J36" s="29"/>
      <c r="K36" s="29"/>
      <c r="L36" s="29"/>
      <c r="M36" s="37">
        <v>2E-3</v>
      </c>
      <c r="N36" s="211">
        <f>M36</f>
        <v>2E-3</v>
      </c>
      <c r="O36" s="211">
        <f t="shared" ref="O36:R37" si="13">N36</f>
        <v>2E-3</v>
      </c>
      <c r="P36" s="211">
        <f t="shared" si="13"/>
        <v>2E-3</v>
      </c>
      <c r="Q36" s="211">
        <f t="shared" si="13"/>
        <v>2E-3</v>
      </c>
      <c r="R36" s="211">
        <f t="shared" si="13"/>
        <v>2E-3</v>
      </c>
    </row>
    <row r="37" spans="1:18" s="19" customFormat="1" x14ac:dyDescent="0.25">
      <c r="A37" s="18"/>
      <c r="C37" s="20" t="s">
        <v>54</v>
      </c>
      <c r="D37" s="22"/>
      <c r="E37" s="22"/>
      <c r="F37" s="22"/>
      <c r="G37" s="22"/>
      <c r="H37" s="22"/>
      <c r="I37" s="29"/>
      <c r="J37" s="29"/>
      <c r="K37" s="29"/>
      <c r="L37" s="29"/>
      <c r="M37" s="33">
        <v>-5.0000000000000001E-3</v>
      </c>
      <c r="N37" s="33">
        <f t="shared" ref="N37:O37" si="14">M37</f>
        <v>-5.0000000000000001E-3</v>
      </c>
      <c r="O37" s="33">
        <f t="shared" si="14"/>
        <v>-5.0000000000000001E-3</v>
      </c>
      <c r="P37" s="33">
        <f t="shared" si="13"/>
        <v>-5.0000000000000001E-3</v>
      </c>
      <c r="Q37" s="33">
        <f t="shared" si="13"/>
        <v>-5.0000000000000001E-3</v>
      </c>
      <c r="R37" s="33">
        <f t="shared" si="13"/>
        <v>-5.0000000000000001E-3</v>
      </c>
    </row>
    <row r="38" spans="1:18" s="19" customFormat="1" x14ac:dyDescent="0.25">
      <c r="A38" s="18"/>
      <c r="C38" s="20" t="s">
        <v>55</v>
      </c>
      <c r="D38" s="22"/>
      <c r="E38" s="22"/>
      <c r="F38" s="22"/>
      <c r="G38" s="22"/>
      <c r="H38" s="22"/>
      <c r="I38" s="29"/>
      <c r="J38" s="29"/>
      <c r="K38" s="29"/>
      <c r="L38" s="29"/>
      <c r="M38" s="37">
        <v>3.0000000000000001E-3</v>
      </c>
      <c r="N38" s="33">
        <f t="shared" ref="N38:R38" si="15">M38</f>
        <v>3.0000000000000001E-3</v>
      </c>
      <c r="O38" s="33">
        <f t="shared" si="15"/>
        <v>3.0000000000000001E-3</v>
      </c>
      <c r="P38" s="33">
        <f t="shared" si="15"/>
        <v>3.0000000000000001E-3</v>
      </c>
      <c r="Q38" s="33">
        <f t="shared" si="15"/>
        <v>3.0000000000000001E-3</v>
      </c>
      <c r="R38" s="33">
        <f t="shared" si="15"/>
        <v>3.0000000000000001E-3</v>
      </c>
    </row>
    <row r="39" spans="1:18" x14ac:dyDescent="0.25"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x14ac:dyDescent="0.25">
      <c r="C40" t="s">
        <v>31</v>
      </c>
      <c r="D40" s="21"/>
      <c r="E40" s="21"/>
      <c r="F40" s="21"/>
      <c r="G40" s="21"/>
      <c r="H40" s="36">
        <f>('IS - ADOBE'!B14-'CF - ADOBE'!B6)*-1</f>
        <v>-7330</v>
      </c>
      <c r="I40" s="36">
        <f>('IS - ADOBE'!C14-'CF - ADOBE'!C6)*-1</f>
        <v>-8487</v>
      </c>
      <c r="J40" s="36">
        <f>('IS - ADOBE'!D14-'CF - ADOBE'!D6)*-1</f>
        <v>-9533</v>
      </c>
      <c r="K40" s="36">
        <f>('IS - ADOBE'!E14-'CF - ADOBE'!E6)*-1</f>
        <v>-11549</v>
      </c>
      <c r="L40" s="36">
        <f>('IS - ADOBE'!F14-'CF - ADOBE'!F6)*-1</f>
        <v>-11694</v>
      </c>
      <c r="M40" s="21">
        <f ca="1">M43-M33</f>
        <v>-12971.411281999764</v>
      </c>
      <c r="N40" s="21">
        <f t="shared" ref="N40:R40" ca="1" si="16">N43-N33</f>
        <v>-14388.278028340255</v>
      </c>
      <c r="O40" s="21">
        <f t="shared" ca="1" si="16"/>
        <v>-15959.815905569147</v>
      </c>
      <c r="P40" s="21">
        <f t="shared" ca="1" si="16"/>
        <v>-17702.89982189795</v>
      </c>
      <c r="Q40" s="21">
        <f t="shared" ca="1" si="16"/>
        <v>-19636.244770826888</v>
      </c>
      <c r="R40" s="21">
        <f t="shared" ca="1" si="16"/>
        <v>-21780.606375509902</v>
      </c>
    </row>
    <row r="41" spans="1:18" x14ac:dyDescent="0.25">
      <c r="C41" s="20" t="s">
        <v>28</v>
      </c>
      <c r="D41" s="21"/>
      <c r="E41" s="21"/>
      <c r="F41" s="21"/>
      <c r="G41" s="21"/>
      <c r="H41" s="29">
        <f>H40/H25*-1</f>
        <v>0.46436490338929365</v>
      </c>
      <c r="I41" s="29">
        <f t="shared" ref="I41:R41" si="17">I40/I25*-1</f>
        <v>0.48205157332727477</v>
      </c>
      <c r="J41" s="29">
        <f t="shared" si="17"/>
        <v>0.49116389303931168</v>
      </c>
      <c r="K41" s="29">
        <f t="shared" si="17"/>
        <v>0.5370378981632179</v>
      </c>
      <c r="L41" s="29">
        <f t="shared" si="17"/>
        <v>0.49198535908115615</v>
      </c>
      <c r="M41" s="29">
        <f t="shared" ca="1" si="17"/>
        <v>0.49377070974799098</v>
      </c>
      <c r="N41" s="29">
        <f t="shared" ca="1" si="17"/>
        <v>0.4955596311161598</v>
      </c>
      <c r="O41" s="29">
        <f t="shared" ca="1" si="17"/>
        <v>0.49735213032706471</v>
      </c>
      <c r="P41" s="29">
        <f t="shared" ca="1" si="17"/>
        <v>0.49914821453639147</v>
      </c>
      <c r="Q41" s="29">
        <f t="shared" ca="1" si="17"/>
        <v>0.50094789091413694</v>
      </c>
      <c r="R41" s="29">
        <f t="shared" ca="1" si="17"/>
        <v>0.50275116664463781</v>
      </c>
    </row>
    <row r="42" spans="1:18" x14ac:dyDescent="0.25"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1:18" x14ac:dyDescent="0.25">
      <c r="C43" s="16" t="s">
        <v>23</v>
      </c>
      <c r="D43" s="21"/>
      <c r="E43" s="21"/>
      <c r="F43" s="21"/>
      <c r="G43" s="21"/>
      <c r="H43" s="30">
        <f>H33+H40</f>
        <v>6590</v>
      </c>
      <c r="I43" s="30">
        <f t="shared" ref="I43:L43" si="18">I33+I40</f>
        <v>6954</v>
      </c>
      <c r="J43" s="30">
        <f t="shared" si="18"/>
        <v>7522</v>
      </c>
      <c r="K43" s="30">
        <f t="shared" si="18"/>
        <v>7598</v>
      </c>
      <c r="L43" s="30">
        <f t="shared" si="18"/>
        <v>9524</v>
      </c>
      <c r="M43" s="30">
        <f ca="1">M25*M44</f>
        <v>10526.170044276285</v>
      </c>
      <c r="N43" s="30">
        <f t="shared" ref="N43:R43" ca="1" si="19">N25*N44</f>
        <v>11633.794183223372</v>
      </c>
      <c r="O43" s="30">
        <f t="shared" ca="1" si="19"/>
        <v>12857.968903057703</v>
      </c>
      <c r="P43" s="30">
        <f t="shared" ca="1" si="19"/>
        <v>14210.958326081687</v>
      </c>
      <c r="Q43" s="30">
        <f t="shared" ca="1" si="19"/>
        <v>15706.317076066749</v>
      </c>
      <c r="R43" s="30">
        <f t="shared" ca="1" si="19"/>
        <v>17359.026072238441</v>
      </c>
    </row>
    <row r="44" spans="1:18" s="19" customFormat="1" x14ac:dyDescent="0.25">
      <c r="A44" s="18"/>
      <c r="C44" s="20" t="s">
        <v>30</v>
      </c>
      <c r="D44" s="22"/>
      <c r="E44" s="22"/>
      <c r="F44" s="22"/>
      <c r="G44" s="22"/>
      <c r="H44" s="29">
        <f>H43/H$25</f>
        <v>0.41748495407031994</v>
      </c>
      <c r="I44" s="29">
        <f>I43/I$25</f>
        <v>0.3949789844371237</v>
      </c>
      <c r="J44" s="29">
        <f>J43/J$25</f>
        <v>0.3875521665206863</v>
      </c>
      <c r="K44" s="29">
        <f>K43/K$25</f>
        <v>0.35331318298070219</v>
      </c>
      <c r="L44" s="29">
        <f>L43/L$25</f>
        <v>0.40068997433632042</v>
      </c>
      <c r="M44" s="29">
        <f t="shared" ref="M44:R44" ca="1" si="20">OFFSET(M44,scen,0)</f>
        <v>0.40068997433632042</v>
      </c>
      <c r="N44" s="29">
        <f t="shared" ca="1" si="20"/>
        <v>0.40068997433632042</v>
      </c>
      <c r="O44" s="29">
        <f t="shared" ca="1" si="20"/>
        <v>0.40068997433632042</v>
      </c>
      <c r="P44" s="29">
        <f t="shared" ca="1" si="20"/>
        <v>0.40068997433632042</v>
      </c>
      <c r="Q44" s="29">
        <f t="shared" ca="1" si="20"/>
        <v>0.40068997433632042</v>
      </c>
      <c r="R44" s="29">
        <f t="shared" ca="1" si="20"/>
        <v>0.40068997433632042</v>
      </c>
    </row>
    <row r="45" spans="1:18" s="19" customFormat="1" x14ac:dyDescent="0.25">
      <c r="A45" s="18"/>
      <c r="C45" s="20" t="s">
        <v>53</v>
      </c>
      <c r="D45" s="22"/>
      <c r="E45" s="22"/>
      <c r="F45" s="22"/>
      <c r="G45" s="22"/>
      <c r="H45" s="22"/>
      <c r="I45" s="29"/>
      <c r="J45" s="29"/>
      <c r="K45" s="29"/>
      <c r="L45" s="29"/>
      <c r="M45" s="212">
        <f>L44</f>
        <v>0.40068997433632042</v>
      </c>
      <c r="N45" s="212">
        <f>M45</f>
        <v>0.40068997433632042</v>
      </c>
      <c r="O45" s="212">
        <f t="shared" ref="O45:R45" si="21">N45</f>
        <v>0.40068997433632042</v>
      </c>
      <c r="P45" s="212">
        <f t="shared" si="21"/>
        <v>0.40068997433632042</v>
      </c>
      <c r="Q45" s="212">
        <f t="shared" si="21"/>
        <v>0.40068997433632042</v>
      </c>
      <c r="R45" s="212">
        <f t="shared" si="21"/>
        <v>0.40068997433632042</v>
      </c>
    </row>
    <row r="46" spans="1:18" s="19" customFormat="1" x14ac:dyDescent="0.25">
      <c r="A46" s="18"/>
      <c r="C46" s="20" t="s">
        <v>54</v>
      </c>
      <c r="D46" s="22"/>
      <c r="E46" s="22"/>
      <c r="F46" s="22"/>
      <c r="G46" s="22"/>
      <c r="H46" s="22"/>
      <c r="I46" s="29"/>
      <c r="J46" s="29"/>
      <c r="K46" s="29"/>
      <c r="L46" s="29"/>
      <c r="M46" s="32">
        <f>M45*(1+I17)</f>
        <v>0.36062097690268841</v>
      </c>
      <c r="N46" s="32">
        <f t="shared" ref="N46" si="22">M46</f>
        <v>0.36062097690268841</v>
      </c>
      <c r="O46" s="32">
        <f t="shared" ref="O46:O47" si="23">N46</f>
        <v>0.36062097690268841</v>
      </c>
      <c r="P46" s="32">
        <f t="shared" ref="P46:P47" si="24">O46</f>
        <v>0.36062097690268841</v>
      </c>
      <c r="Q46" s="32">
        <f t="shared" ref="Q46:Q47" si="25">P46</f>
        <v>0.36062097690268841</v>
      </c>
      <c r="R46" s="32">
        <f t="shared" ref="R46:R47" si="26">Q46</f>
        <v>0.36062097690268841</v>
      </c>
    </row>
    <row r="47" spans="1:18" s="19" customFormat="1" x14ac:dyDescent="0.25">
      <c r="A47" s="18"/>
      <c r="C47" s="20" t="s">
        <v>55</v>
      </c>
      <c r="D47" s="22"/>
      <c r="E47" s="22"/>
      <c r="F47" s="22"/>
      <c r="G47" s="22"/>
      <c r="H47" s="22"/>
      <c r="I47" s="29"/>
      <c r="J47" s="29"/>
      <c r="K47" s="29"/>
      <c r="L47" s="29"/>
      <c r="M47" s="32">
        <f>M45*(1+Q17)</f>
        <v>0.42072447305313648</v>
      </c>
      <c r="N47" s="32">
        <f>M47</f>
        <v>0.42072447305313648</v>
      </c>
      <c r="O47" s="32">
        <f t="shared" si="23"/>
        <v>0.42072447305313648</v>
      </c>
      <c r="P47" s="32">
        <f t="shared" si="24"/>
        <v>0.42072447305313648</v>
      </c>
      <c r="Q47" s="32">
        <f t="shared" si="25"/>
        <v>0.42072447305313648</v>
      </c>
      <c r="R47" s="32">
        <f t="shared" si="26"/>
        <v>0.42072447305313648</v>
      </c>
    </row>
    <row r="48" spans="1:18" x14ac:dyDescent="0.25">
      <c r="D48" s="21"/>
      <c r="E48" s="21"/>
      <c r="F48" s="21"/>
      <c r="G48" s="21"/>
      <c r="H48" s="21"/>
      <c r="I48" s="21"/>
      <c r="J48" s="21"/>
      <c r="K48" s="21"/>
      <c r="L48" s="21"/>
      <c r="M48" s="31"/>
      <c r="N48" s="31"/>
      <c r="O48" s="31"/>
      <c r="P48" s="31"/>
      <c r="Q48" s="31"/>
      <c r="R48" s="31"/>
    </row>
    <row r="49" spans="1:19" x14ac:dyDescent="0.25">
      <c r="C49" t="s">
        <v>32</v>
      </c>
      <c r="D49" s="21"/>
      <c r="E49" s="21"/>
      <c r="F49" s="21"/>
      <c r="G49" s="21"/>
      <c r="H49" s="36">
        <f>'CF - ADOBE'!B6*-1</f>
        <v>-788</v>
      </c>
      <c r="I49" s="36">
        <f>'CF - ADOBE'!C6*-1</f>
        <v>-856</v>
      </c>
      <c r="J49" s="36">
        <f>'CF - ADOBE'!D6*-1</f>
        <v>-872</v>
      </c>
      <c r="K49" s="36">
        <f>'CF - ADOBE'!E6*-1</f>
        <v>-857</v>
      </c>
      <c r="L49" s="36">
        <f>'CF - ADOBE'!F6*-1</f>
        <v>-818</v>
      </c>
      <c r="M49" s="21">
        <f ca="1">M25*M50*-1</f>
        <v>-788.10332564805651</v>
      </c>
      <c r="N49" s="21">
        <f t="shared" ref="N49:R49" ca="1" si="27">N25*N50*-1</f>
        <v>-871.03208927247897</v>
      </c>
      <c r="O49" s="21">
        <f t="shared" ca="1" si="27"/>
        <v>-962.68709425696716</v>
      </c>
      <c r="P49" s="21">
        <f t="shared" ca="1" si="27"/>
        <v>-1063.9865658944843</v>
      </c>
      <c r="Q49" s="21">
        <f t="shared" ca="1" si="27"/>
        <v>-1175.9453504232376</v>
      </c>
      <c r="R49" s="21">
        <f t="shared" ca="1" si="27"/>
        <v>-1299.685082038121</v>
      </c>
    </row>
    <row r="50" spans="1:19" s="19" customFormat="1" x14ac:dyDescent="0.25">
      <c r="A50" s="18"/>
      <c r="C50" s="20" t="s">
        <v>28</v>
      </c>
      <c r="D50" s="22"/>
      <c r="E50" s="22"/>
      <c r="F50" s="22"/>
      <c r="G50" s="22"/>
      <c r="H50" s="29">
        <f>H49/H$25*-1</f>
        <v>4.9920810896420656E-2</v>
      </c>
      <c r="I50" s="29">
        <f t="shared" ref="I50:L50" si="28">I49/I$25*-1</f>
        <v>4.8619788708394868E-2</v>
      </c>
      <c r="J50" s="29">
        <f t="shared" si="28"/>
        <v>4.4927610902158792E-2</v>
      </c>
      <c r="K50" s="29">
        <f t="shared" si="28"/>
        <v>3.9851197395954427E-2</v>
      </c>
      <c r="L50" s="29">
        <f t="shared" si="28"/>
        <v>3.4414573604274475E-2</v>
      </c>
      <c r="M50" s="29">
        <f t="shared" ref="M50:R50" ca="1" si="29">OFFSET(M50,scen,0)</f>
        <v>0.03</v>
      </c>
      <c r="N50" s="29">
        <f t="shared" ca="1" si="29"/>
        <v>0.03</v>
      </c>
      <c r="O50" s="29">
        <f t="shared" ca="1" si="29"/>
        <v>0.03</v>
      </c>
      <c r="P50" s="29">
        <f t="shared" ca="1" si="29"/>
        <v>0.03</v>
      </c>
      <c r="Q50" s="29">
        <f t="shared" ca="1" si="29"/>
        <v>0.03</v>
      </c>
      <c r="R50" s="29">
        <f t="shared" ca="1" si="29"/>
        <v>0.03</v>
      </c>
    </row>
    <row r="51" spans="1:19" s="19" customFormat="1" x14ac:dyDescent="0.25">
      <c r="A51" s="18"/>
      <c r="C51" s="20" t="s">
        <v>53</v>
      </c>
      <c r="D51" s="22"/>
      <c r="E51" s="22"/>
      <c r="F51" s="22"/>
      <c r="G51" s="22"/>
      <c r="H51" s="22"/>
      <c r="I51" s="29"/>
      <c r="J51" s="29"/>
      <c r="K51" s="29"/>
      <c r="L51" s="29"/>
      <c r="M51" s="212">
        <v>0.03</v>
      </c>
      <c r="N51" s="212">
        <f>M51</f>
        <v>0.03</v>
      </c>
      <c r="O51" s="212">
        <f t="shared" ref="O51:R51" si="30">N51</f>
        <v>0.03</v>
      </c>
      <c r="P51" s="212">
        <f t="shared" si="30"/>
        <v>0.03</v>
      </c>
      <c r="Q51" s="212">
        <f t="shared" si="30"/>
        <v>0.03</v>
      </c>
      <c r="R51" s="212">
        <f t="shared" si="30"/>
        <v>0.03</v>
      </c>
    </row>
    <row r="52" spans="1:19" s="19" customFormat="1" x14ac:dyDescent="0.25">
      <c r="A52" s="18"/>
      <c r="C52" s="20" t="s">
        <v>54</v>
      </c>
      <c r="D52" s="22"/>
      <c r="E52" s="22"/>
      <c r="F52" s="22"/>
      <c r="G52" s="22"/>
      <c r="H52" s="22"/>
      <c r="I52" s="29"/>
      <c r="J52" s="29"/>
      <c r="K52" s="29"/>
      <c r="L52" s="29"/>
      <c r="M52" s="213">
        <v>0.03</v>
      </c>
      <c r="N52" s="32">
        <f>M52</f>
        <v>0.03</v>
      </c>
      <c r="O52" s="32">
        <f t="shared" ref="O52:R53" si="31">N52</f>
        <v>0.03</v>
      </c>
      <c r="P52" s="32">
        <f t="shared" si="31"/>
        <v>0.03</v>
      </c>
      <c r="Q52" s="32">
        <f t="shared" si="31"/>
        <v>0.03</v>
      </c>
      <c r="R52" s="32">
        <f t="shared" si="31"/>
        <v>0.03</v>
      </c>
    </row>
    <row r="53" spans="1:19" s="19" customFormat="1" x14ac:dyDescent="0.25">
      <c r="A53" s="18"/>
      <c r="C53" s="20" t="s">
        <v>55</v>
      </c>
      <c r="D53" s="22"/>
      <c r="E53" s="22"/>
      <c r="F53" s="22"/>
      <c r="G53" s="22"/>
      <c r="H53" s="22"/>
      <c r="I53" s="29"/>
      <c r="J53" s="29"/>
      <c r="K53" s="29"/>
      <c r="L53" s="29"/>
      <c r="M53" s="213">
        <v>0.03</v>
      </c>
      <c r="N53" s="32">
        <f>M53</f>
        <v>0.03</v>
      </c>
      <c r="O53" s="32">
        <f t="shared" si="31"/>
        <v>0.03</v>
      </c>
      <c r="P53" s="32">
        <f t="shared" si="31"/>
        <v>0.03</v>
      </c>
      <c r="Q53" s="32">
        <f t="shared" si="31"/>
        <v>0.03</v>
      </c>
      <c r="R53" s="32">
        <f t="shared" si="31"/>
        <v>0.03</v>
      </c>
    </row>
    <row r="54" spans="1:19" x14ac:dyDescent="0.25"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1:19" x14ac:dyDescent="0.25">
      <c r="C55" t="s">
        <v>59</v>
      </c>
      <c r="D55" s="21"/>
      <c r="E55" s="21"/>
      <c r="F55" s="21"/>
      <c r="G55" s="21"/>
      <c r="H55" s="36">
        <f>'CF - ADOBE'!B25</f>
        <v>-348</v>
      </c>
      <c r="I55" s="36">
        <f>'CF - ADOBE'!C25</f>
        <v>-442</v>
      </c>
      <c r="J55" s="36">
        <f>'CF - ADOBE'!D25</f>
        <v>-360</v>
      </c>
      <c r="K55" s="36">
        <f>'CF - ADOBE'!E25</f>
        <v>-183</v>
      </c>
      <c r="L55" s="36">
        <f>'CF - ADOBE'!F25</f>
        <v>-179</v>
      </c>
      <c r="M55" s="21">
        <f ca="1">M25*M56*-1</f>
        <v>-302.88179139569326</v>
      </c>
      <c r="N55" s="21">
        <f t="shared" ref="N55:R55" ca="1" si="32">N25*N56*-1</f>
        <v>-334.75275509723696</v>
      </c>
      <c r="O55" s="21">
        <f t="shared" ca="1" si="32"/>
        <v>-369.97736486176933</v>
      </c>
      <c r="P55" s="21">
        <f t="shared" ca="1" si="32"/>
        <v>-408.90851061195229</v>
      </c>
      <c r="Q55" s="21">
        <f t="shared" ca="1" si="32"/>
        <v>-451.93621537727461</v>
      </c>
      <c r="R55" s="21">
        <f t="shared" ca="1" si="32"/>
        <v>-499.4915426530726</v>
      </c>
      <c r="S55" s="21"/>
    </row>
    <row r="56" spans="1:19" x14ac:dyDescent="0.25">
      <c r="C56" s="20" t="s">
        <v>28</v>
      </c>
      <c r="D56" s="22"/>
      <c r="E56" s="22"/>
      <c r="F56" s="22"/>
      <c r="G56" s="22"/>
      <c r="H56" s="29">
        <f>H55/H$25*-1</f>
        <v>2.2046246436490339E-2</v>
      </c>
      <c r="I56" s="29">
        <f t="shared" ref="I56:L56" si="33">I55/I$25*-1</f>
        <v>2.5105077814381462E-2</v>
      </c>
      <c r="J56" s="29">
        <f t="shared" si="33"/>
        <v>1.854809624401051E-2</v>
      </c>
      <c r="K56" s="29">
        <f t="shared" si="33"/>
        <v>8.5096489188560796E-3</v>
      </c>
      <c r="L56" s="29">
        <f t="shared" si="33"/>
        <v>7.5308174513021159E-3</v>
      </c>
      <c r="M56" s="29">
        <f t="shared" ref="M56:R56" ca="1" si="34">OFFSET(M56,scen,0)</f>
        <v>1.1529520871389568E-2</v>
      </c>
      <c r="N56" s="29">
        <f t="shared" ca="1" si="34"/>
        <v>1.1529520871389568E-2</v>
      </c>
      <c r="O56" s="29">
        <f t="shared" ca="1" si="34"/>
        <v>1.1529520871389568E-2</v>
      </c>
      <c r="P56" s="29">
        <f t="shared" ca="1" si="34"/>
        <v>1.1529520871389568E-2</v>
      </c>
      <c r="Q56" s="29">
        <f t="shared" ca="1" si="34"/>
        <v>1.1529520871389568E-2</v>
      </c>
      <c r="R56" s="29">
        <f t="shared" ca="1" si="34"/>
        <v>1.1529520871389568E-2</v>
      </c>
      <c r="S56" s="21"/>
    </row>
    <row r="57" spans="1:19" x14ac:dyDescent="0.25">
      <c r="C57" s="20" t="s">
        <v>53</v>
      </c>
      <c r="D57" s="22"/>
      <c r="E57" s="22"/>
      <c r="F57" s="22"/>
      <c r="G57" s="22"/>
      <c r="H57" s="22"/>
      <c r="I57" s="29"/>
      <c r="J57" s="29"/>
      <c r="K57" s="29"/>
      <c r="L57" s="29"/>
      <c r="M57" s="212">
        <f>AVERAGE(J56:L56)</f>
        <v>1.1529520871389568E-2</v>
      </c>
      <c r="N57" s="212">
        <f>M57</f>
        <v>1.1529520871389568E-2</v>
      </c>
      <c r="O57" s="212">
        <f t="shared" ref="O57:R59" si="35">N57</f>
        <v>1.1529520871389568E-2</v>
      </c>
      <c r="P57" s="212">
        <f t="shared" si="35"/>
        <v>1.1529520871389568E-2</v>
      </c>
      <c r="Q57" s="212">
        <f t="shared" si="35"/>
        <v>1.1529520871389568E-2</v>
      </c>
      <c r="R57" s="212">
        <f t="shared" si="35"/>
        <v>1.1529520871389568E-2</v>
      </c>
      <c r="S57" s="21"/>
    </row>
    <row r="58" spans="1:19" x14ac:dyDescent="0.25">
      <c r="C58" s="20" t="s">
        <v>54</v>
      </c>
      <c r="D58" s="22"/>
      <c r="E58" s="22"/>
      <c r="F58" s="22"/>
      <c r="G58" s="22"/>
      <c r="H58" s="22"/>
      <c r="I58" s="29"/>
      <c r="J58" s="29"/>
      <c r="K58" s="29"/>
      <c r="L58" s="29"/>
      <c r="M58" s="213">
        <v>0.01</v>
      </c>
      <c r="N58" s="32">
        <f>M58</f>
        <v>0.01</v>
      </c>
      <c r="O58" s="32">
        <f t="shared" si="35"/>
        <v>0.01</v>
      </c>
      <c r="P58" s="32">
        <f t="shared" si="35"/>
        <v>0.01</v>
      </c>
      <c r="Q58" s="32">
        <f t="shared" si="35"/>
        <v>0.01</v>
      </c>
      <c r="R58" s="32">
        <f t="shared" si="35"/>
        <v>0.01</v>
      </c>
      <c r="S58" s="21"/>
    </row>
    <row r="59" spans="1:19" x14ac:dyDescent="0.25">
      <c r="C59" s="20" t="s">
        <v>55</v>
      </c>
      <c r="D59" s="22"/>
      <c r="E59" s="22"/>
      <c r="F59" s="22"/>
      <c r="G59" s="22"/>
      <c r="H59" s="22"/>
      <c r="I59" s="29"/>
      <c r="J59" s="29"/>
      <c r="K59" s="29"/>
      <c r="L59" s="29"/>
      <c r="M59" s="213">
        <v>0.01</v>
      </c>
      <c r="N59" s="32">
        <f>M59</f>
        <v>0.01</v>
      </c>
      <c r="O59" s="32">
        <f t="shared" si="35"/>
        <v>0.01</v>
      </c>
      <c r="P59" s="32">
        <f t="shared" si="35"/>
        <v>0.01</v>
      </c>
      <c r="Q59" s="32">
        <f t="shared" si="35"/>
        <v>0.01</v>
      </c>
      <c r="R59" s="32">
        <f t="shared" si="35"/>
        <v>0.01</v>
      </c>
      <c r="S59" s="21"/>
    </row>
    <row r="60" spans="1:19" x14ac:dyDescent="0.25"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1:19" x14ac:dyDescent="0.25">
      <c r="C61" t="s">
        <v>24</v>
      </c>
      <c r="D61" s="21"/>
      <c r="E61" s="21"/>
      <c r="F61" s="21"/>
      <c r="G61" s="21"/>
      <c r="H61" s="30">
        <f t="shared" ref="H61:R61" si="36">H43+H49</f>
        <v>5802</v>
      </c>
      <c r="I61" s="30">
        <f t="shared" si="36"/>
        <v>6098</v>
      </c>
      <c r="J61" s="30">
        <f t="shared" si="36"/>
        <v>6650</v>
      </c>
      <c r="K61" s="30">
        <f t="shared" si="36"/>
        <v>6741</v>
      </c>
      <c r="L61" s="30">
        <f t="shared" si="36"/>
        <v>8706</v>
      </c>
      <c r="M61" s="30">
        <f t="shared" ca="1" si="36"/>
        <v>9738.066718628228</v>
      </c>
      <c r="N61" s="30">
        <f t="shared" ca="1" si="36"/>
        <v>10762.762093950892</v>
      </c>
      <c r="O61" s="30">
        <f t="shared" ca="1" si="36"/>
        <v>11895.281808800735</v>
      </c>
      <c r="P61" s="30">
        <f t="shared" ca="1" si="36"/>
        <v>13146.971760187203</v>
      </c>
      <c r="Q61" s="30">
        <f t="shared" ca="1" si="36"/>
        <v>14530.371725643512</v>
      </c>
      <c r="R61" s="30">
        <f t="shared" ca="1" si="36"/>
        <v>16059.34099020032</v>
      </c>
    </row>
    <row r="62" spans="1:19" s="19" customFormat="1" x14ac:dyDescent="0.25">
      <c r="A62" s="18"/>
      <c r="C62" s="20" t="s">
        <v>30</v>
      </c>
      <c r="D62" s="22"/>
      <c r="E62" s="22"/>
      <c r="F62" s="22"/>
      <c r="G62" s="22"/>
      <c r="H62" s="29">
        <f t="shared" ref="H62:R62" si="37">H61/H$25</f>
        <v>0.36756414317389929</v>
      </c>
      <c r="I62" s="29">
        <f t="shared" si="37"/>
        <v>0.34635919572872886</v>
      </c>
      <c r="J62" s="29">
        <f t="shared" si="37"/>
        <v>0.3426245556185275</v>
      </c>
      <c r="K62" s="29">
        <f t="shared" si="37"/>
        <v>0.31346198558474775</v>
      </c>
      <c r="L62" s="29">
        <f t="shared" si="37"/>
        <v>0.36627540073204595</v>
      </c>
      <c r="M62" s="29">
        <f t="shared" ca="1" si="37"/>
        <v>0.37068997433632039</v>
      </c>
      <c r="N62" s="29">
        <f t="shared" ca="1" si="37"/>
        <v>0.37068997433632039</v>
      </c>
      <c r="O62" s="29">
        <f t="shared" ca="1" si="37"/>
        <v>0.37068997433632039</v>
      </c>
      <c r="P62" s="29">
        <f t="shared" ca="1" si="37"/>
        <v>0.37068997433632039</v>
      </c>
      <c r="Q62" s="29">
        <f t="shared" ca="1" si="37"/>
        <v>0.37068997433632045</v>
      </c>
      <c r="R62" s="29">
        <f t="shared" ca="1" si="37"/>
        <v>0.37068997433632045</v>
      </c>
    </row>
    <row r="63" spans="1:19" x14ac:dyDescent="0.25"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</row>
    <row r="64" spans="1:19" x14ac:dyDescent="0.25">
      <c r="C64" t="s">
        <v>33</v>
      </c>
      <c r="D64" s="21"/>
      <c r="E64" s="21"/>
      <c r="F64" s="21"/>
      <c r="G64" s="21"/>
      <c r="H64" s="36">
        <f>'IS - ADOBE'!B17</f>
        <v>-113</v>
      </c>
      <c r="I64" s="36">
        <f>'IS - ADOBE'!C17</f>
        <v>-112</v>
      </c>
      <c r="J64" s="36">
        <f>'IS - ADOBE'!D17</f>
        <v>-113</v>
      </c>
      <c r="K64" s="36">
        <f>'IS - ADOBE'!E17</f>
        <v>-169</v>
      </c>
      <c r="L64" s="36">
        <f>'IS - ADOBE'!F17</f>
        <v>-263</v>
      </c>
      <c r="M64" s="21">
        <f t="shared" ref="M64:R64" ca="1" si="38">M25*M65*-1</f>
        <v>-290.67437228524386</v>
      </c>
      <c r="N64" s="21">
        <f t="shared" ca="1" si="38"/>
        <v>-321.26080115369035</v>
      </c>
      <c r="O64" s="21">
        <f t="shared" ca="1" si="38"/>
        <v>-355.06570994373959</v>
      </c>
      <c r="P64" s="21">
        <f t="shared" ca="1" si="38"/>
        <v>-392.42776561943339</v>
      </c>
      <c r="Q64" s="21">
        <f t="shared" ca="1" si="38"/>
        <v>-433.72127163015062</v>
      </c>
      <c r="R64" s="21">
        <f t="shared" ca="1" si="38"/>
        <v>-479.35991778650873</v>
      </c>
    </row>
    <row r="65" spans="1:18" x14ac:dyDescent="0.25">
      <c r="C65" s="20" t="s">
        <v>28</v>
      </c>
      <c r="D65" s="21"/>
      <c r="E65" s="21"/>
      <c r="F65" s="21"/>
      <c r="G65" s="21"/>
      <c r="H65" s="38">
        <f>H64/H25*-1</f>
        <v>7.1586949635730123E-3</v>
      </c>
      <c r="I65" s="38">
        <f>I64/I25*-1</f>
        <v>6.361467681472225E-3</v>
      </c>
      <c r="J65" s="38">
        <f>J64/J25*-1</f>
        <v>5.8220413210366322E-3</v>
      </c>
      <c r="K65" s="38">
        <f>K64/K25*-1</f>
        <v>7.8586375261567084E-3</v>
      </c>
      <c r="L65" s="38">
        <f>L64/L25*-1</f>
        <v>1.1064832344650595E-2</v>
      </c>
      <c r="M65" s="32">
        <f>L65</f>
        <v>1.1064832344650595E-2</v>
      </c>
      <c r="N65" s="32">
        <f t="shared" ref="N65:R65" si="39">M65</f>
        <v>1.1064832344650595E-2</v>
      </c>
      <c r="O65" s="32">
        <f t="shared" si="39"/>
        <v>1.1064832344650595E-2</v>
      </c>
      <c r="P65" s="32">
        <f t="shared" si="39"/>
        <v>1.1064832344650595E-2</v>
      </c>
      <c r="Q65" s="32">
        <f t="shared" si="39"/>
        <v>1.1064832344650595E-2</v>
      </c>
      <c r="R65" s="32">
        <f t="shared" si="39"/>
        <v>1.1064832344650595E-2</v>
      </c>
    </row>
    <row r="66" spans="1:18" x14ac:dyDescent="0.25">
      <c r="C66" s="19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</row>
    <row r="67" spans="1:18" x14ac:dyDescent="0.25">
      <c r="C67" t="s">
        <v>34</v>
      </c>
      <c r="D67" s="21"/>
      <c r="E67" s="21"/>
      <c r="F67" s="21"/>
      <c r="G67" s="21"/>
      <c r="H67" s="30">
        <f t="shared" ref="H67:R67" si="40">H61+H64</f>
        <v>5689</v>
      </c>
      <c r="I67" s="30">
        <f t="shared" si="40"/>
        <v>5986</v>
      </c>
      <c r="J67" s="30">
        <f t="shared" si="40"/>
        <v>6537</v>
      </c>
      <c r="K67" s="30">
        <f t="shared" si="40"/>
        <v>6572</v>
      </c>
      <c r="L67" s="30">
        <f t="shared" si="40"/>
        <v>8443</v>
      </c>
      <c r="M67" s="30">
        <f t="shared" ca="1" si="40"/>
        <v>9447.3923463429837</v>
      </c>
      <c r="N67" s="30">
        <f t="shared" ca="1" si="40"/>
        <v>10441.501292797202</v>
      </c>
      <c r="O67" s="30">
        <f t="shared" ca="1" si="40"/>
        <v>11540.216098856996</v>
      </c>
      <c r="P67" s="30">
        <f t="shared" ca="1" si="40"/>
        <v>12754.54399456777</v>
      </c>
      <c r="Q67" s="30">
        <f t="shared" ca="1" si="40"/>
        <v>14096.650454013361</v>
      </c>
      <c r="R67" s="30">
        <f t="shared" ca="1" si="40"/>
        <v>15579.981072413811</v>
      </c>
    </row>
    <row r="68" spans="1:18" s="19" customFormat="1" x14ac:dyDescent="0.25">
      <c r="A68" s="18"/>
      <c r="C68" s="20" t="s">
        <v>30</v>
      </c>
      <c r="D68" s="22"/>
      <c r="E68" s="22"/>
      <c r="F68" s="22"/>
      <c r="G68" s="22"/>
      <c r="H68" s="29">
        <f>H67/H$25</f>
        <v>0.36040544821032627</v>
      </c>
      <c r="I68" s="29">
        <f>I67/I$25</f>
        <v>0.33999772804725664</v>
      </c>
      <c r="J68" s="29">
        <f>J67/J$25</f>
        <v>0.33680251429749086</v>
      </c>
      <c r="K68" s="29">
        <f>K67/K$25</f>
        <v>0.30560334805859102</v>
      </c>
      <c r="L68" s="29">
        <f>L67/L$25</f>
        <v>0.35521056838739534</v>
      </c>
      <c r="M68" s="29">
        <f t="shared" ref="M68:R68" ca="1" si="41">M67/M$25</f>
        <v>0.35962514199166978</v>
      </c>
      <c r="N68" s="29">
        <f t="shared" ca="1" si="41"/>
        <v>0.35962514199166978</v>
      </c>
      <c r="O68" s="29">
        <f t="shared" ca="1" si="41"/>
        <v>0.35962514199166984</v>
      </c>
      <c r="P68" s="29">
        <f t="shared" ca="1" si="41"/>
        <v>0.35962514199166984</v>
      </c>
      <c r="Q68" s="29">
        <f t="shared" ca="1" si="41"/>
        <v>0.35962514199166984</v>
      </c>
      <c r="R68" s="29">
        <f t="shared" ca="1" si="41"/>
        <v>0.35962514199166984</v>
      </c>
    </row>
    <row r="69" spans="1:18" x14ac:dyDescent="0.25"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</row>
    <row r="70" spans="1:18" x14ac:dyDescent="0.25">
      <c r="C70" t="s">
        <v>51</v>
      </c>
      <c r="D70" s="21"/>
      <c r="E70" s="21"/>
      <c r="F70" s="21"/>
      <c r="G70" s="21"/>
      <c r="H70" s="36">
        <f>'IS - ADOBE'!B22*-1</f>
        <v>-883</v>
      </c>
      <c r="I70" s="36">
        <f>'IS - ADOBE'!C22*-1</f>
        <v>-1252</v>
      </c>
      <c r="J70" s="36">
        <f>'IS - ADOBE'!D22*-1</f>
        <v>-1371</v>
      </c>
      <c r="K70" s="36">
        <f>'IS - ADOBE'!E22*-1</f>
        <v>-1371</v>
      </c>
      <c r="L70" s="36">
        <f>'IS - ADOBE'!F22*-1</f>
        <v>-1604</v>
      </c>
      <c r="M70" s="21">
        <f ca="1">M67*M71*-1</f>
        <v>-1837.8728438188816</v>
      </c>
      <c r="N70" s="21">
        <f t="shared" ref="N70:R70" ca="1" si="42">N67*N71*-1</f>
        <v>-2031.2643924606443</v>
      </c>
      <c r="O70" s="21">
        <f t="shared" ca="1" si="42"/>
        <v>-2245.0057118778145</v>
      </c>
      <c r="P70" s="21">
        <f t="shared" ca="1" si="42"/>
        <v>-2481.2381219652884</v>
      </c>
      <c r="Q70" s="21">
        <f t="shared" ca="1" si="42"/>
        <v>-2742.3282646101816</v>
      </c>
      <c r="R70" s="21">
        <f t="shared" ca="1" si="42"/>
        <v>-3030.8918133674783</v>
      </c>
    </row>
    <row r="71" spans="1:18" s="19" customFormat="1" x14ac:dyDescent="0.25">
      <c r="A71" s="18"/>
      <c r="C71" s="20" t="s">
        <v>52</v>
      </c>
      <c r="D71" s="22"/>
      <c r="E71" s="22"/>
      <c r="F71" s="22"/>
      <c r="G71" s="22"/>
      <c r="H71" s="29">
        <f>H70/H67*-1</f>
        <v>0.15521181226929162</v>
      </c>
      <c r="I71" s="29">
        <f t="shared" ref="I71:L71" si="43">I70/I67*-1</f>
        <v>0.20915469428666889</v>
      </c>
      <c r="J71" s="29">
        <f t="shared" si="43"/>
        <v>0.20972923359339146</v>
      </c>
      <c r="K71" s="29">
        <f t="shared" si="43"/>
        <v>0.20861229458307973</v>
      </c>
      <c r="L71" s="29">
        <f t="shared" si="43"/>
        <v>0.18997986497690394</v>
      </c>
      <c r="M71" s="32">
        <f>AVERAGE(H71:L71)</f>
        <v>0.1945375799418671</v>
      </c>
      <c r="N71" s="32">
        <f>M71</f>
        <v>0.1945375799418671</v>
      </c>
      <c r="O71" s="32">
        <f t="shared" ref="O71:R71" si="44">N71</f>
        <v>0.1945375799418671</v>
      </c>
      <c r="P71" s="32">
        <f t="shared" si="44"/>
        <v>0.1945375799418671</v>
      </c>
      <c r="Q71" s="32">
        <f t="shared" si="44"/>
        <v>0.1945375799418671</v>
      </c>
      <c r="R71" s="32">
        <f t="shared" si="44"/>
        <v>0.1945375799418671</v>
      </c>
    </row>
    <row r="72" spans="1:18" x14ac:dyDescent="0.25"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</row>
    <row r="73" spans="1:18" x14ac:dyDescent="0.25">
      <c r="C73" t="s">
        <v>35</v>
      </c>
      <c r="D73" s="21"/>
      <c r="E73" s="21"/>
      <c r="F73" s="21"/>
      <c r="G73" s="21"/>
      <c r="H73" s="30">
        <f>H67+H70</f>
        <v>4806</v>
      </c>
      <c r="I73" s="30">
        <f t="shared" ref="I73:R73" si="45">I67+I70</f>
        <v>4734</v>
      </c>
      <c r="J73" s="30">
        <f t="shared" si="45"/>
        <v>5166</v>
      </c>
      <c r="K73" s="30">
        <f t="shared" si="45"/>
        <v>5201</v>
      </c>
      <c r="L73" s="30">
        <f t="shared" si="45"/>
        <v>6839</v>
      </c>
      <c r="M73" s="30">
        <f t="shared" ca="1" si="45"/>
        <v>7609.5195025241019</v>
      </c>
      <c r="N73" s="30">
        <f t="shared" ca="1" si="45"/>
        <v>8410.2369003365584</v>
      </c>
      <c r="O73" s="30">
        <f t="shared" ca="1" si="45"/>
        <v>9295.2103869791808</v>
      </c>
      <c r="P73" s="30">
        <f t="shared" ca="1" si="45"/>
        <v>10273.305872602481</v>
      </c>
      <c r="Q73" s="30">
        <f t="shared" ca="1" si="45"/>
        <v>11354.322189403179</v>
      </c>
      <c r="R73" s="30">
        <f t="shared" ca="1" si="45"/>
        <v>12549.089259046334</v>
      </c>
    </row>
    <row r="74" spans="1:18" s="19" customFormat="1" ht="16.5" customHeight="1" x14ac:dyDescent="0.25">
      <c r="A74" s="18"/>
      <c r="C74" s="20" t="s">
        <v>30</v>
      </c>
      <c r="D74" s="22"/>
      <c r="E74" s="22"/>
      <c r="F74" s="22"/>
      <c r="G74" s="22"/>
      <c r="H74" s="29">
        <f>H73/H$25</f>
        <v>0.30446626544187522</v>
      </c>
      <c r="I74" s="29">
        <f>I73/I$25</f>
        <v>0.26888560717937066</v>
      </c>
      <c r="J74" s="29">
        <f>J73/J$25</f>
        <v>0.26616518110155085</v>
      </c>
      <c r="K74" s="29">
        <f>K73/K$25</f>
        <v>0.24185073238781679</v>
      </c>
      <c r="L74" s="29">
        <f>L73/L$25</f>
        <v>0.2877277125667887</v>
      </c>
      <c r="M74" s="29">
        <f t="shared" ref="M74:R74" ca="1" si="46">M73/M$25</f>
        <v>0.28966453718236002</v>
      </c>
      <c r="N74" s="29">
        <f t="shared" ca="1" si="46"/>
        <v>0.28966453718236002</v>
      </c>
      <c r="O74" s="29">
        <f t="shared" ca="1" si="46"/>
        <v>0.28966453718236002</v>
      </c>
      <c r="P74" s="29">
        <f t="shared" ca="1" si="46"/>
        <v>0.28966453718236002</v>
      </c>
      <c r="Q74" s="29">
        <f t="shared" ca="1" si="46"/>
        <v>0.28966453718236007</v>
      </c>
      <c r="R74" s="29">
        <f t="shared" ca="1" si="46"/>
        <v>0.28966453718236007</v>
      </c>
    </row>
    <row r="75" spans="1:18" s="19" customFormat="1" ht="16.5" customHeight="1" x14ac:dyDescent="0.25">
      <c r="A75" s="18"/>
      <c r="C75" s="20"/>
      <c r="D75" s="22"/>
      <c r="E75" s="22"/>
      <c r="F75" s="22"/>
      <c r="G75" s="22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</row>
    <row r="76" spans="1:18" s="19" customFormat="1" ht="16.5" customHeight="1" x14ac:dyDescent="0.25">
      <c r="A76" s="18"/>
      <c r="C76" t="s">
        <v>265</v>
      </c>
      <c r="D76" s="22"/>
      <c r="E76" s="22"/>
      <c r="F76" s="22"/>
      <c r="G76" s="22"/>
      <c r="H76" s="30">
        <f>'IS - ADOBE'!B25</f>
        <v>477.3</v>
      </c>
      <c r="I76" s="30">
        <f>'IS - ADOBE'!C25</f>
        <v>469.5</v>
      </c>
      <c r="J76" s="30">
        <f>'IS - ADOBE'!D25</f>
        <v>457.1</v>
      </c>
      <c r="K76" s="30">
        <f>'IS - ADOBE'!E25</f>
        <v>447.1</v>
      </c>
      <c r="L76" s="30">
        <f>'IS - ADOBE'!F25</f>
        <v>426.2</v>
      </c>
      <c r="M76" s="30">
        <f ca="1">L76*(1+M77)</f>
        <v>414.33291443630475</v>
      </c>
      <c r="N76" s="30">
        <f t="shared" ref="N76:R76" ca="1" si="47">M76*(1+N77)</f>
        <v>402.79625524467912</v>
      </c>
      <c r="O76" s="30">
        <f t="shared" ca="1" si="47"/>
        <v>391.58082205433504</v>
      </c>
      <c r="P76" s="30">
        <f t="shared" ca="1" si="47"/>
        <v>380.67767066902081</v>
      </c>
      <c r="Q76" s="30">
        <f t="shared" ca="1" si="47"/>
        <v>370.07810593411358</v>
      </c>
      <c r="R76" s="30">
        <f t="shared" ca="1" si="47"/>
        <v>359.77367480232004</v>
      </c>
    </row>
    <row r="77" spans="1:18" s="19" customFormat="1" ht="16.5" customHeight="1" x14ac:dyDescent="0.25">
      <c r="A77" s="18"/>
      <c r="C77" s="20" t="s">
        <v>26</v>
      </c>
      <c r="D77" s="22"/>
      <c r="E77" s="22"/>
      <c r="F77" s="22"/>
      <c r="G77" s="22"/>
      <c r="H77" s="29"/>
      <c r="I77" s="29">
        <f>I76/H76-1</f>
        <v>-1.6341923318667573E-2</v>
      </c>
      <c r="J77" s="29">
        <f t="shared" ref="J77" si="48">J76/I76-1</f>
        <v>-2.6411075612353563E-2</v>
      </c>
      <c r="K77" s="29">
        <f>K76/J76-1</f>
        <v>-2.1877050973528767E-2</v>
      </c>
      <c r="L77" s="29">
        <f>L76/K76-1</f>
        <v>-4.6745694475508914E-2</v>
      </c>
      <c r="M77" s="29">
        <f t="shared" ref="M77:R77" ca="1" si="49">OFFSET(M77,scen,0)</f>
        <v>-2.7843936095014704E-2</v>
      </c>
      <c r="N77" s="29">
        <f t="shared" ca="1" si="49"/>
        <v>-2.7843936095014704E-2</v>
      </c>
      <c r="O77" s="29">
        <f t="shared" ca="1" si="49"/>
        <v>-2.7843936095014704E-2</v>
      </c>
      <c r="P77" s="29">
        <f t="shared" ca="1" si="49"/>
        <v>-2.7843936095014704E-2</v>
      </c>
      <c r="Q77" s="29">
        <f t="shared" ca="1" si="49"/>
        <v>-2.7843936095014704E-2</v>
      </c>
      <c r="R77" s="29">
        <f t="shared" ca="1" si="49"/>
        <v>-2.7843936095014704E-2</v>
      </c>
    </row>
    <row r="78" spans="1:18" s="19" customFormat="1" x14ac:dyDescent="0.25">
      <c r="A78" s="18"/>
      <c r="C78" s="20" t="s">
        <v>53</v>
      </c>
      <c r="D78" s="22"/>
      <c r="E78" s="22"/>
      <c r="F78" s="22"/>
      <c r="G78" s="22"/>
      <c r="H78" s="22"/>
      <c r="I78" s="29"/>
      <c r="J78" s="29"/>
      <c r="K78" s="29"/>
      <c r="L78" s="29"/>
      <c r="M78" s="212">
        <f>AVERAGE(I77:L77)</f>
        <v>-2.7843936095014704E-2</v>
      </c>
      <c r="N78" s="212">
        <f>M78</f>
        <v>-2.7843936095014704E-2</v>
      </c>
      <c r="O78" s="212">
        <f t="shared" ref="O78:R78" si="50">N78</f>
        <v>-2.7843936095014704E-2</v>
      </c>
      <c r="P78" s="212">
        <f t="shared" si="50"/>
        <v>-2.7843936095014704E-2</v>
      </c>
      <c r="Q78" s="212">
        <f t="shared" si="50"/>
        <v>-2.7843936095014704E-2</v>
      </c>
      <c r="R78" s="212">
        <f t="shared" si="50"/>
        <v>-2.7843936095014704E-2</v>
      </c>
    </row>
    <row r="79" spans="1:18" s="19" customFormat="1" x14ac:dyDescent="0.25">
      <c r="A79" s="18"/>
      <c r="C79" s="20" t="s">
        <v>54</v>
      </c>
      <c r="D79" s="22"/>
      <c r="E79" s="22"/>
      <c r="F79" s="22"/>
      <c r="G79" s="22"/>
      <c r="H79" s="22"/>
      <c r="I79" s="29"/>
      <c r="J79" s="29"/>
      <c r="K79" s="29"/>
      <c r="L79" s="29"/>
      <c r="M79" s="213">
        <v>-0.01</v>
      </c>
      <c r="N79" s="32">
        <f>M79</f>
        <v>-0.01</v>
      </c>
      <c r="O79" s="32">
        <f t="shared" ref="O79:R80" si="51">N79</f>
        <v>-0.01</v>
      </c>
      <c r="P79" s="32">
        <f t="shared" si="51"/>
        <v>-0.01</v>
      </c>
      <c r="Q79" s="32">
        <f t="shared" si="51"/>
        <v>-0.01</v>
      </c>
      <c r="R79" s="32">
        <f t="shared" si="51"/>
        <v>-0.01</v>
      </c>
    </row>
    <row r="80" spans="1:18" s="19" customFormat="1" x14ac:dyDescent="0.25">
      <c r="A80" s="18"/>
      <c r="C80" s="20" t="s">
        <v>55</v>
      </c>
      <c r="D80" s="22"/>
      <c r="E80" s="22"/>
      <c r="F80" s="22"/>
      <c r="G80" s="22"/>
      <c r="H80" s="22"/>
      <c r="I80" s="29"/>
      <c r="J80" s="29"/>
      <c r="K80" s="29"/>
      <c r="L80" s="29"/>
      <c r="M80" s="213">
        <v>-0.04</v>
      </c>
      <c r="N80" s="32">
        <f>M80</f>
        <v>-0.04</v>
      </c>
      <c r="O80" s="32">
        <f t="shared" si="51"/>
        <v>-0.04</v>
      </c>
      <c r="P80" s="32">
        <f t="shared" si="51"/>
        <v>-0.04</v>
      </c>
      <c r="Q80" s="32">
        <f t="shared" si="51"/>
        <v>-0.04</v>
      </c>
      <c r="R80" s="32">
        <f t="shared" si="51"/>
        <v>-0.04</v>
      </c>
    </row>
    <row r="81" spans="1:18" x14ac:dyDescent="0.25"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</row>
    <row r="82" spans="1:18" x14ac:dyDescent="0.25">
      <c r="A82" s="5" t="s">
        <v>5</v>
      </c>
      <c r="C82" s="2" t="s">
        <v>1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x14ac:dyDescent="0.25"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 spans="1:18" ht="18" x14ac:dyDescent="0.4">
      <c r="C84" s="6"/>
      <c r="D84" s="24"/>
      <c r="E84" s="24"/>
      <c r="F84" s="24"/>
      <c r="G84" s="24"/>
      <c r="H84" s="25" t="s">
        <v>8</v>
      </c>
      <c r="I84" s="26"/>
      <c r="J84" s="26"/>
      <c r="K84" s="26"/>
      <c r="L84" s="26"/>
      <c r="M84" s="27" t="s">
        <v>9</v>
      </c>
      <c r="N84" s="27"/>
      <c r="O84" s="27"/>
      <c r="P84" s="27"/>
      <c r="Q84" s="27"/>
      <c r="R84" s="27"/>
    </row>
    <row r="85" spans="1:18" x14ac:dyDescent="0.25">
      <c r="C85" s="39" t="s">
        <v>91</v>
      </c>
      <c r="D85" s="24"/>
      <c r="E85" s="24"/>
      <c r="F85" s="24"/>
      <c r="G85" s="24"/>
      <c r="H85" s="39">
        <v>2021</v>
      </c>
      <c r="I85" s="39">
        <f>+H85+1</f>
        <v>2022</v>
      </c>
      <c r="J85" s="39">
        <f t="shared" ref="J85:R85" si="52">+I85+1</f>
        <v>2023</v>
      </c>
      <c r="K85" s="39">
        <f t="shared" si="52"/>
        <v>2024</v>
      </c>
      <c r="L85" s="39">
        <f t="shared" si="52"/>
        <v>2025</v>
      </c>
      <c r="M85" s="40">
        <f>+L85+1</f>
        <v>2026</v>
      </c>
      <c r="N85" s="40">
        <f>+M85+1</f>
        <v>2027</v>
      </c>
      <c r="O85" s="40">
        <f>+N85+1</f>
        <v>2028</v>
      </c>
      <c r="P85" s="40">
        <f t="shared" si="52"/>
        <v>2029</v>
      </c>
      <c r="Q85" s="40">
        <f t="shared" si="52"/>
        <v>2030</v>
      </c>
      <c r="R85" s="40">
        <f t="shared" si="52"/>
        <v>2031</v>
      </c>
    </row>
    <row r="86" spans="1:18" x14ac:dyDescent="0.25">
      <c r="C86" t="s">
        <v>24</v>
      </c>
      <c r="D86" s="21"/>
      <c r="E86" s="21"/>
      <c r="F86" s="21"/>
      <c r="G86" s="21"/>
      <c r="H86" s="41"/>
      <c r="I86" s="41"/>
      <c r="J86" s="41"/>
      <c r="K86" s="41"/>
      <c r="L86" s="41"/>
      <c r="M86" s="21">
        <f t="shared" ref="M86:R86" ca="1" si="53">M61</f>
        <v>9738.066718628228</v>
      </c>
      <c r="N86" s="21">
        <f t="shared" ca="1" si="53"/>
        <v>10762.762093950892</v>
      </c>
      <c r="O86" s="21">
        <f t="shared" ca="1" si="53"/>
        <v>11895.281808800735</v>
      </c>
      <c r="P86" s="21">
        <f t="shared" ca="1" si="53"/>
        <v>13146.971760187203</v>
      </c>
      <c r="Q86" s="21">
        <f t="shared" ca="1" si="53"/>
        <v>14530.371725643512</v>
      </c>
      <c r="R86" s="21">
        <f t="shared" ca="1" si="53"/>
        <v>16059.34099020032</v>
      </c>
    </row>
    <row r="87" spans="1:18" x14ac:dyDescent="0.25">
      <c r="C87" t="s">
        <v>36</v>
      </c>
      <c r="D87" s="21"/>
      <c r="E87" s="21"/>
      <c r="F87" s="21"/>
      <c r="G87" s="21"/>
      <c r="H87" s="41"/>
      <c r="I87" s="41"/>
      <c r="J87" s="41"/>
      <c r="K87" s="41"/>
      <c r="L87" s="41"/>
      <c r="M87" s="31">
        <f t="shared" ref="M87:R87" si="54">(1-M71)</f>
        <v>0.80546242005813284</v>
      </c>
      <c r="N87" s="31">
        <f t="shared" si="54"/>
        <v>0.80546242005813284</v>
      </c>
      <c r="O87" s="31">
        <f t="shared" si="54"/>
        <v>0.80546242005813284</v>
      </c>
      <c r="P87" s="31">
        <f t="shared" si="54"/>
        <v>0.80546242005813284</v>
      </c>
      <c r="Q87" s="31">
        <f t="shared" si="54"/>
        <v>0.80546242005813284</v>
      </c>
      <c r="R87" s="31">
        <f t="shared" si="54"/>
        <v>0.80546242005813284</v>
      </c>
    </row>
    <row r="88" spans="1:18" x14ac:dyDescent="0.25">
      <c r="C88" s="16" t="s">
        <v>37</v>
      </c>
      <c r="D88" s="21"/>
      <c r="E88" s="21"/>
      <c r="F88" s="21"/>
      <c r="G88" s="21"/>
      <c r="H88" s="41"/>
      <c r="I88" s="41"/>
      <c r="J88" s="41"/>
      <c r="K88" s="41"/>
      <c r="L88" s="41"/>
      <c r="M88" s="30">
        <f ca="1">M86*M87</f>
        <v>7843.6467858738533</v>
      </c>
      <c r="N88" s="30">
        <f t="shared" ref="N88:R88" ca="1" si="55">N86*N87</f>
        <v>8669.000402703623</v>
      </c>
      <c r="O88" s="30">
        <f t="shared" ca="1" si="55"/>
        <v>9581.2024729901241</v>
      </c>
      <c r="P88" s="30">
        <f t="shared" ca="1" si="55"/>
        <v>10589.391690396315</v>
      </c>
      <c r="Q88" s="30">
        <f t="shared" ca="1" si="55"/>
        <v>11703.668374481091</v>
      </c>
      <c r="R88" s="30">
        <f t="shared" ca="1" si="55"/>
        <v>12935.195658505521</v>
      </c>
    </row>
    <row r="89" spans="1:18" x14ac:dyDescent="0.25">
      <c r="C89" t="s">
        <v>38</v>
      </c>
      <c r="D89" s="21"/>
      <c r="E89" s="21"/>
      <c r="F89" s="21"/>
      <c r="G89" s="21"/>
      <c r="H89" s="41"/>
      <c r="I89" s="41"/>
      <c r="J89" s="41"/>
      <c r="K89" s="41"/>
      <c r="L89" s="41"/>
      <c r="M89" s="21">
        <f t="shared" ref="M89:R89" ca="1" si="56">-M49</f>
        <v>788.10332564805651</v>
      </c>
      <c r="N89" s="21">
        <f t="shared" ca="1" si="56"/>
        <v>871.03208927247897</v>
      </c>
      <c r="O89" s="21">
        <f t="shared" ca="1" si="56"/>
        <v>962.68709425696716</v>
      </c>
      <c r="P89" s="21">
        <f t="shared" ca="1" si="56"/>
        <v>1063.9865658944843</v>
      </c>
      <c r="Q89" s="21">
        <f t="shared" ca="1" si="56"/>
        <v>1175.9453504232376</v>
      </c>
      <c r="R89" s="21">
        <f t="shared" ca="1" si="56"/>
        <v>1299.685082038121</v>
      </c>
    </row>
    <row r="90" spans="1:18" x14ac:dyDescent="0.25">
      <c r="C90" t="s">
        <v>39</v>
      </c>
      <c r="D90" s="21"/>
      <c r="E90" s="21"/>
      <c r="F90" s="21"/>
      <c r="G90" s="21"/>
      <c r="H90" s="41"/>
      <c r="I90" s="41"/>
      <c r="J90" s="41"/>
      <c r="K90" s="41"/>
      <c r="L90" s="41"/>
      <c r="M90" s="21">
        <f t="shared" ref="M90:R90" ca="1" si="57">M55</f>
        <v>-302.88179139569326</v>
      </c>
      <c r="N90" s="21">
        <f t="shared" ca="1" si="57"/>
        <v>-334.75275509723696</v>
      </c>
      <c r="O90" s="21">
        <f t="shared" ca="1" si="57"/>
        <v>-369.97736486176933</v>
      </c>
      <c r="P90" s="21">
        <f t="shared" ca="1" si="57"/>
        <v>-408.90851061195229</v>
      </c>
      <c r="Q90" s="21">
        <f t="shared" ca="1" si="57"/>
        <v>-451.93621537727461</v>
      </c>
      <c r="R90" s="21">
        <f t="shared" ca="1" si="57"/>
        <v>-499.4915426530726</v>
      </c>
    </row>
    <row r="91" spans="1:18" x14ac:dyDescent="0.25">
      <c r="C91" t="s">
        <v>40</v>
      </c>
      <c r="D91" s="21"/>
      <c r="E91" s="21"/>
      <c r="F91" s="21"/>
      <c r="G91" s="21"/>
      <c r="H91" s="41"/>
      <c r="I91" s="41"/>
      <c r="J91" s="41"/>
      <c r="K91" s="41"/>
      <c r="L91" s="41"/>
      <c r="M91" s="21">
        <f ca="1">-M161</f>
        <v>-487.5107555042282</v>
      </c>
      <c r="N91" s="21">
        <f t="shared" ref="N91:R91" ca="1" si="58">-N161</f>
        <v>-262.5591366753988</v>
      </c>
      <c r="O91" s="21">
        <f t="shared" ca="1" si="58"/>
        <v>-291.09929846720843</v>
      </c>
      <c r="P91" s="21">
        <f t="shared" ca="1" si="58"/>
        <v>-322.74062131259871</v>
      </c>
      <c r="Q91" s="21">
        <f t="shared" ca="1" si="58"/>
        <v>-357.81995607781937</v>
      </c>
      <c r="R91" s="21">
        <f t="shared" ca="1" si="58"/>
        <v>-396.71073019579671</v>
      </c>
    </row>
    <row r="92" spans="1:18" x14ac:dyDescent="0.25">
      <c r="C92" s="16" t="s">
        <v>41</v>
      </c>
      <c r="D92" s="21"/>
      <c r="E92" s="21"/>
      <c r="F92" s="21"/>
      <c r="G92" s="21"/>
      <c r="H92" s="41"/>
      <c r="I92" s="41"/>
      <c r="J92" s="41"/>
      <c r="K92" s="41"/>
      <c r="L92" s="41"/>
      <c r="M92" s="30">
        <f ca="1">SUM(M88:M91)</f>
        <v>7841.357564621987</v>
      </c>
      <c r="N92" s="30">
        <f t="shared" ref="N92:R92" ca="1" si="59">SUM(N88:N91)</f>
        <v>8942.7206002034654</v>
      </c>
      <c r="O92" s="30">
        <f t="shared" ca="1" si="59"/>
        <v>9882.8129039181131</v>
      </c>
      <c r="P92" s="30">
        <f t="shared" ca="1" si="59"/>
        <v>10921.729124366248</v>
      </c>
      <c r="Q92" s="30">
        <f t="shared" ca="1" si="59"/>
        <v>12069.857553449234</v>
      </c>
      <c r="R92" s="30">
        <f t="shared" ca="1" si="59"/>
        <v>13338.678467694772</v>
      </c>
    </row>
    <row r="93" spans="1:18" s="21" customFormat="1" x14ac:dyDescent="0.25"/>
    <row r="94" spans="1:18" x14ac:dyDescent="0.25">
      <c r="C94" t="s">
        <v>70</v>
      </c>
      <c r="D94" s="21"/>
      <c r="E94" s="21"/>
      <c r="F94" s="21"/>
      <c r="G94" s="21"/>
      <c r="H94" s="41"/>
      <c r="I94" s="41"/>
      <c r="J94" s="41"/>
      <c r="K94" s="41"/>
      <c r="L94" s="41"/>
      <c r="M94" s="21">
        <v>1</v>
      </c>
      <c r="N94" s="21">
        <f>M94+1</f>
        <v>2</v>
      </c>
      <c r="O94" s="21">
        <f t="shared" ref="O94:R94" si="60">N94+1</f>
        <v>3</v>
      </c>
      <c r="P94" s="21">
        <f t="shared" si="60"/>
        <v>4</v>
      </c>
      <c r="Q94" s="21">
        <f t="shared" si="60"/>
        <v>5</v>
      </c>
      <c r="R94" s="21">
        <f t="shared" si="60"/>
        <v>6</v>
      </c>
    </row>
    <row r="95" spans="1:18" x14ac:dyDescent="0.25">
      <c r="C95" t="s">
        <v>71</v>
      </c>
      <c r="D95" s="21"/>
      <c r="E95" s="21"/>
      <c r="F95" s="21"/>
      <c r="G95" s="21"/>
      <c r="H95" s="41"/>
      <c r="I95" s="41"/>
      <c r="J95" s="41"/>
      <c r="K95" s="41"/>
      <c r="L95" s="41"/>
      <c r="M95" s="44">
        <f>1-(2/12)</f>
        <v>0.83333333333333337</v>
      </c>
      <c r="N95" s="44">
        <f>M95+1</f>
        <v>1.8333333333333335</v>
      </c>
      <c r="O95" s="44">
        <f t="shared" ref="O95:R95" si="61">N95+1</f>
        <v>2.8333333333333335</v>
      </c>
      <c r="P95" s="44">
        <f t="shared" si="61"/>
        <v>3.8333333333333335</v>
      </c>
      <c r="Q95" s="44">
        <f t="shared" si="61"/>
        <v>4.8333333333333339</v>
      </c>
      <c r="R95" s="44">
        <f t="shared" si="61"/>
        <v>5.8333333333333339</v>
      </c>
    </row>
    <row r="96" spans="1:18" x14ac:dyDescent="0.25">
      <c r="C96" t="s">
        <v>42</v>
      </c>
      <c r="D96" s="21"/>
      <c r="E96" s="21"/>
      <c r="F96" s="21"/>
      <c r="G96" s="21"/>
      <c r="H96" s="41"/>
      <c r="I96" s="41"/>
      <c r="J96" s="41"/>
      <c r="K96" s="41"/>
      <c r="L96" s="41"/>
      <c r="M96" s="44">
        <f>M95*0.5</f>
        <v>0.41666666666666669</v>
      </c>
      <c r="N96" s="44">
        <f>M95+0.5</f>
        <v>1.3333333333333335</v>
      </c>
      <c r="O96" s="44">
        <f>N96+1</f>
        <v>2.3333333333333335</v>
      </c>
      <c r="P96" s="44">
        <f t="shared" ref="P96:R96" si="62">O96+1</f>
        <v>3.3333333333333335</v>
      </c>
      <c r="Q96" s="44">
        <f t="shared" si="62"/>
        <v>4.3333333333333339</v>
      </c>
      <c r="R96" s="44">
        <f t="shared" si="62"/>
        <v>5.3333333333333339</v>
      </c>
    </row>
    <row r="97" spans="1:18" s="21" customFormat="1" x14ac:dyDescent="0.25"/>
    <row r="98" spans="1:18" x14ac:dyDescent="0.25">
      <c r="C98" s="16" t="s">
        <v>43</v>
      </c>
      <c r="D98" s="21"/>
      <c r="E98" s="21"/>
      <c r="F98" s="21"/>
      <c r="G98" s="21"/>
      <c r="H98" s="41"/>
      <c r="I98" s="41"/>
      <c r="J98" s="41"/>
      <c r="K98" s="41"/>
      <c r="L98" s="41"/>
      <c r="M98" s="30">
        <f ca="1">M92/(1+wacc)^M96</f>
        <v>7528.0662329361639</v>
      </c>
      <c r="N98" s="30">
        <f t="shared" ref="M98:Q98" ca="1" si="63">N92/(1+wacc)^N96</f>
        <v>7848.8244739973634</v>
      </c>
      <c r="O98" s="30">
        <f ca="1">O92/(1+wacc)^O96</f>
        <v>7865.3262993188737</v>
      </c>
      <c r="P98" s="30">
        <f t="shared" ca="1" si="63"/>
        <v>7881.861296771066</v>
      </c>
      <c r="Q98" s="30">
        <f t="shared" ca="1" si="63"/>
        <v>7898.4295263631393</v>
      </c>
      <c r="R98" s="30">
        <f ca="1">R92/(1+wacc)^R96</f>
        <v>7915.0310481822426</v>
      </c>
    </row>
    <row r="99" spans="1:18" s="21" customFormat="1" x14ac:dyDescent="0.25"/>
    <row r="100" spans="1:18" x14ac:dyDescent="0.25">
      <c r="C100" s="28" t="s">
        <v>44</v>
      </c>
      <c r="D100" s="21"/>
      <c r="E100" s="21"/>
      <c r="F100" s="21"/>
      <c r="G100" s="21"/>
      <c r="H100" s="41"/>
      <c r="I100" s="41"/>
      <c r="J100" s="41"/>
      <c r="K100" s="41"/>
      <c r="L100" s="41"/>
      <c r="M100" s="21"/>
      <c r="N100" s="21"/>
      <c r="O100" s="21" cm="1">
        <f t="array" aca="1" ref="O100" ca="1">(O92*(1+tgr))/(wacc-tgr)</f>
        <v>130195.54303526937</v>
      </c>
      <c r="P100" s="21"/>
      <c r="R100" s="21" cm="1">
        <f t="array" aca="1" ref="R100" ca="1">(R92*(1+tgr))/(wacc-tgr)</f>
        <v>175722.89421626847</v>
      </c>
    </row>
    <row r="101" spans="1:18" x14ac:dyDescent="0.25">
      <c r="C101" s="16" t="s">
        <v>45</v>
      </c>
      <c r="D101" s="21"/>
      <c r="E101" s="21"/>
      <c r="F101" s="21"/>
      <c r="G101" s="21"/>
      <c r="H101" s="41"/>
      <c r="I101" s="41"/>
      <c r="J101" s="41"/>
      <c r="K101" s="41"/>
      <c r="L101" s="41"/>
      <c r="M101" s="21"/>
      <c r="N101" s="21"/>
      <c r="O101" s="30">
        <f ca="1">O100/(1+wacc)^O96</f>
        <v>103617.30396448384</v>
      </c>
      <c r="P101" s="21"/>
      <c r="R101" s="30">
        <f ca="1">R100/(1+wacc)^R96</f>
        <v>104272.11113655248</v>
      </c>
    </row>
    <row r="102" spans="1:18" s="21" customFormat="1" x14ac:dyDescent="0.25"/>
    <row r="103" spans="1:18" x14ac:dyDescent="0.25">
      <c r="C103" s="16" t="s">
        <v>46</v>
      </c>
      <c r="D103" s="21"/>
      <c r="E103" s="21"/>
      <c r="F103" s="21"/>
      <c r="G103" s="21"/>
      <c r="H103" s="41"/>
      <c r="I103" s="41"/>
      <c r="J103" s="41"/>
      <c r="K103" s="41"/>
      <c r="L103" s="41"/>
      <c r="M103" s="21"/>
      <c r="N103" s="21"/>
      <c r="O103" s="30">
        <f ca="1">O101+SUM(M98:O98)</f>
        <v>126859.52097073625</v>
      </c>
      <c r="P103" s="21"/>
      <c r="R103" s="30">
        <f ca="1">R101+SUM(M98:R98)</f>
        <v>151209.65001412135</v>
      </c>
    </row>
    <row r="104" spans="1:18" x14ac:dyDescent="0.25">
      <c r="C104" s="28" t="s">
        <v>47</v>
      </c>
      <c r="D104" s="21"/>
      <c r="E104" s="21"/>
      <c r="F104" s="21"/>
      <c r="G104" s="21"/>
      <c r="H104" s="41"/>
      <c r="I104" s="41"/>
      <c r="J104" s="41"/>
      <c r="K104" s="41"/>
      <c r="L104" s="41"/>
      <c r="M104" s="21"/>
      <c r="N104" s="21"/>
      <c r="O104" s="21">
        <f>'BS - ADOBE'!$F$4</f>
        <v>5431</v>
      </c>
      <c r="P104" s="21"/>
      <c r="R104" s="21">
        <f>'BS - ADOBE'!$F$4</f>
        <v>5431</v>
      </c>
    </row>
    <row r="105" spans="1:18" x14ac:dyDescent="0.25">
      <c r="C105" s="28" t="s">
        <v>48</v>
      </c>
      <c r="D105" s="21"/>
      <c r="E105" s="21"/>
      <c r="F105" s="21"/>
      <c r="G105" s="21"/>
      <c r="H105" s="41"/>
      <c r="I105" s="41"/>
      <c r="J105" s="41"/>
      <c r="K105" s="41"/>
      <c r="L105" s="41"/>
      <c r="M105" s="21"/>
      <c r="N105" s="21"/>
      <c r="O105" s="21">
        <f>-D</f>
        <v>-6210</v>
      </c>
      <c r="P105" s="21"/>
      <c r="R105" s="21">
        <f>-D</f>
        <v>-6210</v>
      </c>
    </row>
    <row r="106" spans="1:18" x14ac:dyDescent="0.25">
      <c r="C106" s="16" t="s">
        <v>49</v>
      </c>
      <c r="D106" s="21"/>
      <c r="E106" s="21"/>
      <c r="F106" s="21"/>
      <c r="G106" s="21"/>
      <c r="H106" s="41"/>
      <c r="I106" s="41"/>
      <c r="J106" s="41"/>
      <c r="K106" s="41"/>
      <c r="L106" s="41"/>
      <c r="M106" s="21"/>
      <c r="N106" s="21"/>
      <c r="O106" s="30">
        <f ca="1">SUM(O103:O105)</f>
        <v>126080.52097073625</v>
      </c>
      <c r="P106" s="21"/>
      <c r="R106" s="30">
        <f ca="1">SUM(R103:R105)</f>
        <v>150430.65001412135</v>
      </c>
    </row>
    <row r="107" spans="1:18" x14ac:dyDescent="0.25">
      <c r="C107" s="28" t="s">
        <v>50</v>
      </c>
      <c r="D107" s="21"/>
      <c r="E107" s="21"/>
      <c r="F107" s="21"/>
      <c r="G107" s="21"/>
      <c r="H107" s="41"/>
      <c r="I107" s="41"/>
      <c r="J107" s="41"/>
      <c r="K107" s="41"/>
      <c r="L107" s="41"/>
      <c r="M107" s="21"/>
      <c r="N107" s="21"/>
      <c r="O107" s="21">
        <f ca="1">O76</f>
        <v>391.58082205433504</v>
      </c>
      <c r="P107" s="21"/>
      <c r="R107" s="21">
        <f ca="1">R76</f>
        <v>359.77367480232004</v>
      </c>
    </row>
    <row r="108" spans="1:18" x14ac:dyDescent="0.25">
      <c r="C108" s="16" t="s">
        <v>14</v>
      </c>
      <c r="D108" s="21"/>
      <c r="E108" s="21"/>
      <c r="F108" s="21"/>
      <c r="G108" s="21"/>
      <c r="H108" s="41"/>
      <c r="I108" s="41"/>
      <c r="J108" s="41"/>
      <c r="K108" s="41"/>
      <c r="L108" s="41"/>
      <c r="M108" s="21"/>
      <c r="N108" s="21"/>
      <c r="O108" s="53">
        <f ca="1">O106/O107</f>
        <v>321.97828358724257</v>
      </c>
      <c r="P108" s="21"/>
      <c r="R108" s="53">
        <f ca="1">R106/R107</f>
        <v>418.12578448597282</v>
      </c>
    </row>
    <row r="109" spans="1:18" x14ac:dyDescent="0.25">
      <c r="C109" s="28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</row>
    <row r="110" spans="1:18" x14ac:dyDescent="0.25">
      <c r="A110" s="5" t="s">
        <v>5</v>
      </c>
      <c r="C110" s="2" t="s">
        <v>133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 x14ac:dyDescent="0.25">
      <c r="C111" s="28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</row>
    <row r="112" spans="1:18" ht="18" x14ac:dyDescent="0.4">
      <c r="C112" s="28" t="s">
        <v>137</v>
      </c>
      <c r="D112" s="41"/>
      <c r="E112" s="132"/>
      <c r="F112" s="134" t="s">
        <v>72</v>
      </c>
      <c r="G112" s="133"/>
      <c r="H112" s="133"/>
      <c r="I112" s="133"/>
      <c r="J112" s="133"/>
      <c r="K112" s="133"/>
      <c r="L112" s="133"/>
      <c r="M112" s="21"/>
      <c r="N112" s="16"/>
      <c r="O112" s="21"/>
      <c r="P112" s="21"/>
      <c r="Q112" s="21"/>
      <c r="R112" s="21"/>
    </row>
    <row r="113" spans="3:18" x14ac:dyDescent="0.25">
      <c r="C113" s="28"/>
      <c r="D113" s="132"/>
      <c r="E113" s="137">
        <f ca="1">R108</f>
        <v>418.12578448597282</v>
      </c>
      <c r="F113" s="135">
        <v>0.09</v>
      </c>
      <c r="G113" s="135">
        <f>F113+0.25%</f>
        <v>9.2499999999999999E-2</v>
      </c>
      <c r="H113" s="135">
        <f t="shared" ref="H113:L113" si="64">G113+0.25%</f>
        <v>9.5000000000000001E-2</v>
      </c>
      <c r="I113" s="135">
        <f t="shared" si="64"/>
        <v>9.7500000000000003E-2</v>
      </c>
      <c r="J113" s="135">
        <f t="shared" si="64"/>
        <v>0.1</v>
      </c>
      <c r="K113" s="135">
        <f t="shared" si="64"/>
        <v>0.10250000000000001</v>
      </c>
      <c r="L113" s="135">
        <f t="shared" si="64"/>
        <v>0.10500000000000001</v>
      </c>
      <c r="M113" s="21"/>
      <c r="N113" s="16"/>
      <c r="O113" s="21"/>
      <c r="P113" s="21"/>
      <c r="Q113" s="21"/>
      <c r="R113" s="21"/>
    </row>
    <row r="114" spans="3:18" x14ac:dyDescent="0.25">
      <c r="D114" s="138" t="s">
        <v>89</v>
      </c>
      <c r="E114" s="136">
        <v>0.02</v>
      </c>
      <c r="F114" s="123">
        <f t="dataTable" ref="F114:L118" dt2D="1" dtr="1" r1="E17" r2="E18" ca="1"/>
        <v>473.94591838275238</v>
      </c>
      <c r="G114" s="123">
        <v>457.28770730650024</v>
      </c>
      <c r="H114" s="123">
        <v>441.746042752623</v>
      </c>
      <c r="I114" s="123">
        <v>427.21279461309604</v>
      </c>
      <c r="J114" s="123">
        <v>413.59335019298089</v>
      </c>
      <c r="K114" s="123">
        <v>400.80456609780106</v>
      </c>
      <c r="L114" s="123">
        <v>388.77308155293815</v>
      </c>
      <c r="M114" s="21"/>
      <c r="N114" s="16"/>
      <c r="O114" s="21"/>
      <c r="P114" s="21"/>
      <c r="Q114" s="21"/>
      <c r="R114" s="21"/>
    </row>
    <row r="115" spans="3:18" x14ac:dyDescent="0.25">
      <c r="C115" s="28"/>
      <c r="D115" s="132"/>
      <c r="E115" s="136">
        <f>E114+0.25%</f>
        <v>2.2499999999999999E-2</v>
      </c>
      <c r="F115" s="123">
        <v>487.44922491469885</v>
      </c>
      <c r="G115" s="123">
        <v>469.7355603557412</v>
      </c>
      <c r="H115" s="123">
        <v>453.24953340719759</v>
      </c>
      <c r="I115" s="123">
        <v>437.86830293352176</v>
      </c>
      <c r="J115" s="123">
        <v>423.48487941958228</v>
      </c>
      <c r="K115" s="123">
        <v>410.00564813522681</v>
      </c>
      <c r="L115" s="123">
        <v>397.348342633941</v>
      </c>
      <c r="M115" s="21"/>
      <c r="N115" s="16"/>
      <c r="O115" s="21"/>
      <c r="P115" s="21"/>
      <c r="Q115" s="21"/>
      <c r="R115" s="21"/>
    </row>
    <row r="116" spans="3:18" x14ac:dyDescent="0.25">
      <c r="C116" s="28"/>
      <c r="D116" s="132"/>
      <c r="E116" s="136">
        <f t="shared" ref="E116:E118" si="65">E115+0.25%</f>
        <v>2.4999999999999998E-2</v>
      </c>
      <c r="F116" s="123">
        <v>501.99124733371809</v>
      </c>
      <c r="G116" s="123">
        <v>483.1054765938149</v>
      </c>
      <c r="H116" s="123">
        <v>465.57470196567056</v>
      </c>
      <c r="I116" s="123">
        <v>449.25867389673562</v>
      </c>
      <c r="J116" s="123">
        <v>434.03584392795722</v>
      </c>
      <c r="K116" s="123">
        <v>419.80034836861546</v>
      </c>
      <c r="L116" s="123">
        <v>406.45955753250655</v>
      </c>
      <c r="M116" s="21"/>
      <c r="N116" s="21"/>
      <c r="O116" s="21"/>
      <c r="P116" s="21"/>
      <c r="Q116" s="21"/>
      <c r="R116" s="21"/>
    </row>
    <row r="117" spans="3:18" x14ac:dyDescent="0.25">
      <c r="C117" s="28"/>
      <c r="D117" s="132"/>
      <c r="E117" s="136">
        <f t="shared" si="65"/>
        <v>2.7499999999999997E-2</v>
      </c>
      <c r="F117" s="123">
        <v>517.69663154625914</v>
      </c>
      <c r="G117" s="123">
        <v>497.50384792712509</v>
      </c>
      <c r="H117" s="123">
        <v>478.81284597291938</v>
      </c>
      <c r="I117" s="123">
        <v>461.46264278589325</v>
      </c>
      <c r="J117" s="123">
        <v>445.31446116104775</v>
      </c>
      <c r="K117" s="123">
        <v>430.24802861756342</v>
      </c>
      <c r="L117" s="123">
        <v>416.15859274710868</v>
      </c>
      <c r="M117" s="21"/>
      <c r="N117" s="21"/>
      <c r="O117" s="21"/>
      <c r="P117" s="21"/>
      <c r="Q117" s="21"/>
      <c r="R117" s="21"/>
    </row>
    <row r="118" spans="3:18" x14ac:dyDescent="0.25">
      <c r="C118" s="28"/>
      <c r="D118" s="132"/>
      <c r="E118" s="136">
        <f t="shared" si="65"/>
        <v>2.9999999999999995E-2</v>
      </c>
      <c r="F118" s="123">
        <v>534.71079777651175</v>
      </c>
      <c r="G118" s="123">
        <v>513.05408896710003</v>
      </c>
      <c r="H118" s="123">
        <v>493.06930874995646</v>
      </c>
      <c r="I118" s="123">
        <v>474.5706093705441</v>
      </c>
      <c r="J118" s="123">
        <v>457.39869391078753</v>
      </c>
      <c r="K118" s="123">
        <v>441.41623853885261</v>
      </c>
      <c r="L118" s="123">
        <v>426.50423030935087</v>
      </c>
      <c r="M118" s="21"/>
      <c r="N118" s="21"/>
      <c r="O118" s="21"/>
      <c r="P118" s="21"/>
      <c r="Q118" s="21"/>
      <c r="R118" s="21"/>
    </row>
    <row r="119" spans="3:18" x14ac:dyDescent="0.25">
      <c r="C119" s="28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</row>
    <row r="120" spans="3:18" outlineLevel="1" x14ac:dyDescent="0.25">
      <c r="C120" s="28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</row>
    <row r="121" spans="3:18" ht="18" outlineLevel="1" x14ac:dyDescent="0.4">
      <c r="C121" s="28" t="s">
        <v>134</v>
      </c>
      <c r="D121" s="41"/>
      <c r="E121" s="132"/>
      <c r="F121" s="134" t="s">
        <v>72</v>
      </c>
      <c r="G121" s="133"/>
      <c r="H121" s="133"/>
      <c r="I121" s="133"/>
      <c r="J121" s="133"/>
      <c r="K121" s="133"/>
      <c r="L121" s="133"/>
      <c r="M121" s="21"/>
      <c r="N121" s="21"/>
      <c r="O121" s="21"/>
      <c r="P121" s="21"/>
      <c r="Q121" s="21"/>
      <c r="R121" s="21"/>
    </row>
    <row r="122" spans="3:18" outlineLevel="1" x14ac:dyDescent="0.25">
      <c r="C122" s="28"/>
      <c r="D122" s="132"/>
      <c r="E122" s="137">
        <v>270.50981248177823</v>
      </c>
      <c r="F122" s="135">
        <v>0.06</v>
      </c>
      <c r="G122" s="135">
        <v>6.25E-2</v>
      </c>
      <c r="H122" s="135">
        <v>6.5000000000000002E-2</v>
      </c>
      <c r="I122" s="135">
        <v>6.7500000000000004E-2</v>
      </c>
      <c r="J122" s="135">
        <v>7.0000000000000007E-2</v>
      </c>
      <c r="K122" s="135">
        <v>7.2500000000000009E-2</v>
      </c>
      <c r="L122" s="135">
        <v>7.5000000000000011E-2</v>
      </c>
      <c r="M122" s="21"/>
      <c r="N122" s="21"/>
      <c r="O122" s="21"/>
      <c r="P122" s="21"/>
      <c r="Q122" s="21"/>
      <c r="R122" s="21"/>
    </row>
    <row r="123" spans="3:18" outlineLevel="1" x14ac:dyDescent="0.25">
      <c r="C123" s="28"/>
      <c r="D123" s="138" t="s">
        <v>89</v>
      </c>
      <c r="E123" s="136">
        <v>0.02</v>
      </c>
      <c r="F123" s="123">
        <v>245.59545319108281</v>
      </c>
      <c r="G123" s="123">
        <v>228.00045598074703</v>
      </c>
      <c r="H123" s="123">
        <v>212.35985789276677</v>
      </c>
      <c r="I123" s="123">
        <v>198.36507125744339</v>
      </c>
      <c r="J123" s="123">
        <v>185.7692259352439</v>
      </c>
      <c r="K123" s="123">
        <v>174.3724746667161</v>
      </c>
      <c r="L123" s="123">
        <v>164.01130605424439</v>
      </c>
      <c r="M123" s="21"/>
      <c r="N123" s="21"/>
      <c r="O123" s="21"/>
      <c r="P123" s="21"/>
      <c r="Q123" s="21"/>
      <c r="R123" s="21"/>
    </row>
    <row r="124" spans="3:18" outlineLevel="1" x14ac:dyDescent="0.25">
      <c r="C124" s="28"/>
      <c r="D124" s="132"/>
      <c r="E124" s="136">
        <v>2.2499999999999999E-2</v>
      </c>
      <c r="F124" s="123">
        <v>262.85242983177852</v>
      </c>
      <c r="G124" s="123">
        <v>243.09328052825646</v>
      </c>
      <c r="H124" s="123">
        <v>225.6579853769195</v>
      </c>
      <c r="I124" s="123">
        <v>210.15923838980731</v>
      </c>
      <c r="J124" s="123">
        <v>196.29127166029673</v>
      </c>
      <c r="K124" s="123">
        <v>183.80947084299936</v>
      </c>
      <c r="L124" s="123">
        <v>172.51581478225398</v>
      </c>
      <c r="M124" s="21"/>
      <c r="N124" s="21"/>
      <c r="O124" s="21"/>
      <c r="P124" s="21"/>
      <c r="Q124" s="21"/>
      <c r="R124" s="21"/>
    </row>
    <row r="125" spans="3:18" outlineLevel="1" x14ac:dyDescent="0.25">
      <c r="C125" s="28"/>
      <c r="D125" s="132"/>
      <c r="E125" s="136">
        <v>2.4999999999999998E-2</v>
      </c>
      <c r="F125" s="123">
        <v>282.57468884971655</v>
      </c>
      <c r="G125" s="123">
        <v>260.19848168210046</v>
      </c>
      <c r="H125" s="123">
        <v>240.61837879659137</v>
      </c>
      <c r="I125" s="123">
        <v>223.34095459656709</v>
      </c>
      <c r="J125" s="123">
        <v>207.98243357702214</v>
      </c>
      <c r="K125" s="123">
        <v>194.23983503783879</v>
      </c>
      <c r="L125" s="123">
        <v>181.87077438306454</v>
      </c>
      <c r="M125" s="21"/>
      <c r="N125" s="21"/>
      <c r="O125" s="21"/>
      <c r="P125" s="21"/>
      <c r="Q125" s="21"/>
      <c r="R125" s="21"/>
    </row>
    <row r="126" spans="3:18" outlineLevel="1" x14ac:dyDescent="0.25">
      <c r="C126" s="28"/>
      <c r="D126" s="132"/>
      <c r="E126" s="136">
        <v>2.7499999999999997E-2</v>
      </c>
      <c r="F126" s="123">
        <v>305.33114156272205</v>
      </c>
      <c r="G126" s="123">
        <v>279.74728300077953</v>
      </c>
      <c r="H126" s="123">
        <v>257.57349133888624</v>
      </c>
      <c r="I126" s="123">
        <v>238.17038532917189</v>
      </c>
      <c r="J126" s="123">
        <v>221.04902630748003</v>
      </c>
      <c r="K126" s="123">
        <v>205.82912858766039</v>
      </c>
      <c r="L126" s="123">
        <v>192.21046657343422</v>
      </c>
      <c r="M126" s="21"/>
      <c r="N126" s="21"/>
      <c r="O126" s="21"/>
      <c r="P126" s="21"/>
      <c r="Q126" s="21"/>
      <c r="R126" s="21"/>
    </row>
    <row r="127" spans="3:18" outlineLevel="1" x14ac:dyDescent="0.25">
      <c r="C127" s="28"/>
      <c r="D127" s="132"/>
      <c r="E127" s="136">
        <v>2.9999999999999995E-2</v>
      </c>
      <c r="F127" s="123">
        <v>331.88033639456177</v>
      </c>
      <c r="G127" s="123">
        <v>302.30359221463988</v>
      </c>
      <c r="H127" s="123">
        <v>276.95076281579463</v>
      </c>
      <c r="I127" s="123">
        <v>254.97707349279062</v>
      </c>
      <c r="J127" s="123">
        <v>235.74894312924513</v>
      </c>
      <c r="K127" s="123">
        <v>218.78186843746101</v>
      </c>
      <c r="L127" s="123">
        <v>203.69901345162268</v>
      </c>
      <c r="M127" s="21"/>
      <c r="N127" s="21"/>
      <c r="O127" s="21"/>
      <c r="P127" s="21"/>
      <c r="Q127" s="21"/>
      <c r="R127" s="21"/>
    </row>
    <row r="128" spans="3:18" outlineLevel="1" x14ac:dyDescent="0.25">
      <c r="C128" s="28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</row>
    <row r="129" spans="3:18" outlineLevel="1" x14ac:dyDescent="0.25">
      <c r="C129" s="28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</row>
    <row r="130" spans="3:18" ht="18" outlineLevel="1" x14ac:dyDescent="0.4">
      <c r="C130" s="28" t="s">
        <v>135</v>
      </c>
      <c r="D130" s="41"/>
      <c r="E130" s="132"/>
      <c r="F130" s="134" t="s">
        <v>72</v>
      </c>
      <c r="G130" s="133"/>
      <c r="H130" s="133"/>
      <c r="I130" s="133"/>
      <c r="J130" s="133"/>
      <c r="K130" s="133"/>
      <c r="L130" s="133"/>
      <c r="M130" s="21"/>
      <c r="N130" s="21"/>
      <c r="O130" s="21"/>
      <c r="P130" s="21"/>
      <c r="Q130" s="21"/>
      <c r="R130" s="21"/>
    </row>
    <row r="131" spans="3:18" outlineLevel="1" x14ac:dyDescent="0.25">
      <c r="C131" s="28"/>
      <c r="D131" s="132"/>
      <c r="E131" s="137">
        <v>176.75668185275651</v>
      </c>
      <c r="F131" s="135">
        <v>0.06</v>
      </c>
      <c r="G131" s="135">
        <v>6.25E-2</v>
      </c>
      <c r="H131" s="135">
        <v>6.5000000000000002E-2</v>
      </c>
      <c r="I131" s="135">
        <v>6.7500000000000004E-2</v>
      </c>
      <c r="J131" s="135">
        <v>7.0000000000000007E-2</v>
      </c>
      <c r="K131" s="135">
        <v>7.2500000000000009E-2</v>
      </c>
      <c r="L131" s="135">
        <v>7.5000000000000011E-2</v>
      </c>
      <c r="M131" s="21"/>
      <c r="N131" s="21"/>
      <c r="O131" s="21"/>
      <c r="P131" s="21"/>
      <c r="Q131" s="21"/>
      <c r="R131" s="21"/>
    </row>
    <row r="132" spans="3:18" outlineLevel="1" x14ac:dyDescent="0.25">
      <c r="C132" s="28"/>
      <c r="D132" s="138" t="s">
        <v>89</v>
      </c>
      <c r="E132" s="136">
        <v>0.02</v>
      </c>
      <c r="F132" s="123">
        <v>178.30691883418481</v>
      </c>
      <c r="G132" s="123">
        <v>164.79069412439932</v>
      </c>
      <c r="H132" s="123">
        <v>152.77417515774383</v>
      </c>
      <c r="I132" s="123">
        <v>142.02058503862156</v>
      </c>
      <c r="J132" s="123">
        <v>132.34050201241644</v>
      </c>
      <c r="K132" s="123">
        <v>123.58058443564437</v>
      </c>
      <c r="L132" s="123">
        <v>115.61537075417488</v>
      </c>
      <c r="M132" s="21"/>
      <c r="N132" s="21"/>
      <c r="O132" s="21"/>
      <c r="P132" s="21"/>
      <c r="Q132" s="21"/>
      <c r="R132" s="21"/>
    </row>
    <row r="133" spans="3:18" outlineLevel="1" x14ac:dyDescent="0.25">
      <c r="C133" s="28"/>
      <c r="D133" s="132"/>
      <c r="E133" s="136">
        <v>2.2499999999999999E-2</v>
      </c>
      <c r="F133" s="123">
        <v>191.54799098898692</v>
      </c>
      <c r="G133" s="123">
        <v>176.3712382147275</v>
      </c>
      <c r="H133" s="123">
        <v>162.97766961726495</v>
      </c>
      <c r="I133" s="123">
        <v>151.07010867517502</v>
      </c>
      <c r="J133" s="123">
        <v>140.41394208030167</v>
      </c>
      <c r="K133" s="123">
        <v>130.8214789385716</v>
      </c>
      <c r="L133" s="123">
        <v>122.14077877049931</v>
      </c>
      <c r="M133" s="21"/>
      <c r="N133" s="21"/>
      <c r="O133" s="21"/>
      <c r="P133" s="21"/>
      <c r="Q133" s="21"/>
      <c r="R133" s="21"/>
    </row>
    <row r="134" spans="3:18" outlineLevel="1" x14ac:dyDescent="0.25">
      <c r="C134" s="28"/>
      <c r="D134" s="132"/>
      <c r="E134" s="136">
        <v>2.4999999999999998E-2</v>
      </c>
      <c r="F134" s="123">
        <v>206.68064488018948</v>
      </c>
      <c r="G134" s="123">
        <v>189.49585485043286</v>
      </c>
      <c r="H134" s="123">
        <v>174.45660088422622</v>
      </c>
      <c r="I134" s="123">
        <v>161.18428215132303</v>
      </c>
      <c r="J134" s="123">
        <v>149.38443104461857</v>
      </c>
      <c r="K134" s="123">
        <v>138.82457286285967</v>
      </c>
      <c r="L134" s="123">
        <v>129.31872758845623</v>
      </c>
      <c r="M134" s="21"/>
      <c r="N134" s="21"/>
      <c r="O134" s="21"/>
      <c r="P134" s="21"/>
      <c r="Q134" s="21"/>
      <c r="R134" s="21"/>
    </row>
    <row r="135" spans="3:18" outlineLevel="1" x14ac:dyDescent="0.25">
      <c r="C135" s="28"/>
      <c r="D135" s="132"/>
      <c r="E135" s="136">
        <v>2.7499999999999997E-2</v>
      </c>
      <c r="F135" s="123">
        <v>224.14139937003856</v>
      </c>
      <c r="G135" s="123">
        <v>204.49541671981046</v>
      </c>
      <c r="H135" s="123">
        <v>187.46605632011574</v>
      </c>
      <c r="I135" s="123">
        <v>172.56272731198962</v>
      </c>
      <c r="J135" s="123">
        <v>159.41027165179642</v>
      </c>
      <c r="K135" s="123">
        <v>147.71689944540202</v>
      </c>
      <c r="L135" s="123">
        <v>137.25224996619812</v>
      </c>
      <c r="M135" s="21"/>
      <c r="N135" s="21"/>
      <c r="O135" s="21"/>
      <c r="P135" s="21"/>
      <c r="Q135" s="21"/>
      <c r="R135" s="21"/>
    </row>
    <row r="136" spans="3:18" outlineLevel="1" x14ac:dyDescent="0.25">
      <c r="C136" s="28"/>
      <c r="D136" s="132"/>
      <c r="E136" s="136">
        <v>2.9999999999999995E-2</v>
      </c>
      <c r="F136" s="123">
        <v>244.51227960819574</v>
      </c>
      <c r="G136" s="123">
        <v>221.80260349216923</v>
      </c>
      <c r="H136" s="123">
        <v>202.33400538970369</v>
      </c>
      <c r="I136" s="123">
        <v>185.45829849407838</v>
      </c>
      <c r="J136" s="123">
        <v>170.68934233487138</v>
      </c>
      <c r="K136" s="123">
        <v>157.65538209647875</v>
      </c>
      <c r="L136" s="123">
        <v>146.06727483035573</v>
      </c>
      <c r="M136" s="21"/>
      <c r="N136" s="21"/>
      <c r="O136" s="21"/>
      <c r="P136" s="21"/>
      <c r="Q136" s="21"/>
      <c r="R136" s="21"/>
    </row>
    <row r="137" spans="3:18" outlineLevel="1" x14ac:dyDescent="0.25">
      <c r="C137" s="28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</row>
    <row r="138" spans="3:18" outlineLevel="1" x14ac:dyDescent="0.25">
      <c r="C138" s="28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</row>
    <row r="139" spans="3:18" ht="18" outlineLevel="1" x14ac:dyDescent="0.4">
      <c r="C139" s="28" t="s">
        <v>136</v>
      </c>
      <c r="D139" s="41"/>
      <c r="E139" s="132"/>
      <c r="F139" s="134" t="s">
        <v>72</v>
      </c>
      <c r="G139" s="133"/>
      <c r="H139" s="133"/>
      <c r="I139" s="133"/>
      <c r="J139" s="133"/>
      <c r="K139" s="133"/>
      <c r="L139" s="133"/>
      <c r="M139" s="21"/>
      <c r="N139" s="21"/>
      <c r="O139" s="21"/>
      <c r="P139" s="21"/>
      <c r="Q139" s="21"/>
      <c r="R139" s="21"/>
    </row>
    <row r="140" spans="3:18" outlineLevel="1" x14ac:dyDescent="0.25">
      <c r="C140" s="28"/>
      <c r="D140" s="132"/>
      <c r="E140" s="137">
        <v>375.14782799095946</v>
      </c>
      <c r="F140" s="135">
        <v>0.06</v>
      </c>
      <c r="G140" s="135">
        <v>6.25E-2</v>
      </c>
      <c r="H140" s="135">
        <v>6.5000000000000002E-2</v>
      </c>
      <c r="I140" s="135">
        <v>6.7500000000000004E-2</v>
      </c>
      <c r="J140" s="135">
        <v>7.0000000000000007E-2</v>
      </c>
      <c r="K140" s="135">
        <v>7.2500000000000009E-2</v>
      </c>
      <c r="L140" s="135">
        <v>7.5000000000000011E-2</v>
      </c>
      <c r="M140" s="21"/>
      <c r="N140" s="21"/>
      <c r="O140" s="21"/>
      <c r="P140" s="21"/>
      <c r="Q140" s="21"/>
      <c r="R140" s="21"/>
    </row>
    <row r="141" spans="3:18" outlineLevel="1" x14ac:dyDescent="0.25">
      <c r="C141" s="28"/>
      <c r="D141" s="138" t="s">
        <v>89</v>
      </c>
      <c r="E141" s="136">
        <v>0.02</v>
      </c>
      <c r="F141" s="123">
        <v>298.3468586763849</v>
      </c>
      <c r="G141" s="123">
        <v>277.48102728001493</v>
      </c>
      <c r="H141" s="123">
        <v>258.93452334044213</v>
      </c>
      <c r="I141" s="123">
        <v>242.34112201590878</v>
      </c>
      <c r="J141" s="123">
        <v>227.40784366292328</v>
      </c>
      <c r="K141" s="123">
        <v>213.89751449949128</v>
      </c>
      <c r="L141" s="123">
        <v>201.61608345117088</v>
      </c>
      <c r="M141" s="21"/>
      <c r="N141" s="21"/>
      <c r="O141" s="21"/>
      <c r="P141" s="21"/>
      <c r="Q141" s="21"/>
      <c r="R141" s="21"/>
    </row>
    <row r="142" spans="3:18" outlineLevel="1" x14ac:dyDescent="0.25">
      <c r="C142" s="28"/>
      <c r="D142" s="132"/>
      <c r="E142" s="136">
        <v>2.2499999999999999E-2</v>
      </c>
      <c r="F142" s="123">
        <v>318.82711716027131</v>
      </c>
      <c r="G142" s="123">
        <v>295.39291036479602</v>
      </c>
      <c r="H142" s="123">
        <v>274.71649337480289</v>
      </c>
      <c r="I142" s="123">
        <v>256.33821991446825</v>
      </c>
      <c r="J142" s="123">
        <v>239.8952115672277</v>
      </c>
      <c r="K142" s="123">
        <v>225.09716580723841</v>
      </c>
      <c r="L142" s="123">
        <v>211.70907602191843</v>
      </c>
      <c r="M142" s="21"/>
      <c r="N142" s="21"/>
      <c r="O142" s="21"/>
      <c r="P142" s="21"/>
      <c r="Q142" s="21"/>
      <c r="R142" s="21"/>
    </row>
    <row r="143" spans="3:18" outlineLevel="1" x14ac:dyDescent="0.25">
      <c r="C143" s="28"/>
      <c r="D143" s="132"/>
      <c r="E143" s="136">
        <v>2.4999999999999998E-2</v>
      </c>
      <c r="F143" s="123">
        <v>342.23312685614167</v>
      </c>
      <c r="G143" s="123">
        <v>315.6930445275479</v>
      </c>
      <c r="H143" s="123">
        <v>292.47120966345886</v>
      </c>
      <c r="I143" s="123">
        <v>271.98203521285831</v>
      </c>
      <c r="J143" s="123">
        <v>253.77006479423272</v>
      </c>
      <c r="K143" s="123">
        <v>237.47572777895894</v>
      </c>
      <c r="L143" s="123">
        <v>222.81136784974066</v>
      </c>
      <c r="M143" s="21"/>
      <c r="N143" s="21"/>
      <c r="O143" s="21"/>
      <c r="P143" s="21"/>
      <c r="Q143" s="21"/>
      <c r="R143" s="21"/>
    </row>
    <row r="144" spans="3:18" outlineLevel="1" x14ac:dyDescent="0.25">
      <c r="C144" s="28"/>
      <c r="D144" s="132"/>
      <c r="E144" s="136">
        <v>2.7499999999999997E-2</v>
      </c>
      <c r="F144" s="123">
        <v>369.24006112060766</v>
      </c>
      <c r="G144" s="123">
        <v>338.89319785640743</v>
      </c>
      <c r="H144" s="123">
        <v>312.5932214572689</v>
      </c>
      <c r="I144" s="123">
        <v>289.58132742354724</v>
      </c>
      <c r="J144" s="123">
        <v>269.27725369500303</v>
      </c>
      <c r="K144" s="123">
        <v>251.22968552531515</v>
      </c>
      <c r="L144" s="123">
        <v>235.08232197522855</v>
      </c>
      <c r="M144" s="21"/>
      <c r="N144" s="21"/>
      <c r="O144" s="21"/>
      <c r="P144" s="21"/>
      <c r="Q144" s="21"/>
      <c r="R144" s="21"/>
    </row>
    <row r="145" spans="1:18" outlineLevel="1" x14ac:dyDescent="0.25">
      <c r="C145" s="28"/>
      <c r="D145" s="132"/>
      <c r="E145" s="136">
        <v>2.9999999999999995E-2</v>
      </c>
      <c r="F145" s="123">
        <v>400.74815109581772</v>
      </c>
      <c r="G145" s="123">
        <v>365.66260554355284</v>
      </c>
      <c r="H145" s="123">
        <v>335.58980636448041</v>
      </c>
      <c r="I145" s="123">
        <v>309.52719192899451</v>
      </c>
      <c r="J145" s="123">
        <v>286.72284120836963</v>
      </c>
      <c r="K145" s="123">
        <v>266.60175594771317</v>
      </c>
      <c r="L145" s="123">
        <v>248.71671544799281</v>
      </c>
      <c r="M145" s="21"/>
      <c r="N145" s="21"/>
      <c r="O145" s="21"/>
      <c r="P145" s="21"/>
      <c r="Q145" s="21"/>
      <c r="R145" s="21"/>
    </row>
    <row r="146" spans="1:18" outlineLevel="1" x14ac:dyDescent="0.25">
      <c r="C146" s="28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</row>
    <row r="147" spans="1:18" x14ac:dyDescent="0.25">
      <c r="C147" s="28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</row>
    <row r="148" spans="1:18" x14ac:dyDescent="0.25">
      <c r="A148" s="5" t="s">
        <v>5</v>
      </c>
      <c r="C148" s="2" t="s">
        <v>61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 x14ac:dyDescent="0.25">
      <c r="C149" s="28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</row>
    <row r="150" spans="1:18" x14ac:dyDescent="0.25">
      <c r="C150" s="28" t="s">
        <v>62</v>
      </c>
      <c r="D150" s="21"/>
      <c r="E150" s="21"/>
      <c r="F150" s="21"/>
      <c r="G150" s="21"/>
      <c r="H150" s="21">
        <f>'BS - ADOBE'!B6</f>
        <v>1878</v>
      </c>
      <c r="I150" s="21">
        <f>'BS - ADOBE'!C6</f>
        <v>2065</v>
      </c>
      <c r="J150" s="21">
        <f>'BS - ADOBE'!D6</f>
        <v>2224</v>
      </c>
      <c r="K150" s="21">
        <f>'BS - ADOBE'!E6</f>
        <v>2072</v>
      </c>
      <c r="L150" s="21">
        <f>'BS - ADOBE'!F6</f>
        <v>2344</v>
      </c>
      <c r="M150" s="21">
        <f t="shared" ref="M150:R150" ca="1" si="66">M25*M151</f>
        <v>2867.7231480761111</v>
      </c>
      <c r="N150" s="21">
        <f t="shared" ca="1" si="66"/>
        <v>3169.4814675090765</v>
      </c>
      <c r="O150" s="21">
        <f t="shared" ca="1" si="66"/>
        <v>3502.9925324635537</v>
      </c>
      <c r="P150" s="21">
        <f t="shared" ca="1" si="66"/>
        <v>3871.5975494058566</v>
      </c>
      <c r="Q150" s="21">
        <f t="shared" ca="1" si="66"/>
        <v>4278.9893057590716</v>
      </c>
      <c r="R150" s="21">
        <f t="shared" ca="1" si="66"/>
        <v>4729.249165272965</v>
      </c>
    </row>
    <row r="151" spans="1:18" x14ac:dyDescent="0.25">
      <c r="C151" s="20" t="s">
        <v>28</v>
      </c>
      <c r="D151" s="21"/>
      <c r="E151" s="21"/>
      <c r="F151" s="21"/>
      <c r="G151" s="21"/>
      <c r="H151" s="29">
        <f>H150/H$25</f>
        <v>0.11897370921761166</v>
      </c>
      <c r="I151" s="29">
        <f t="shared" ref="I151:L151" si="67">I150/I$25</f>
        <v>0.11728956037714415</v>
      </c>
      <c r="J151" s="29">
        <f t="shared" si="67"/>
        <v>0.1145860167963316</v>
      </c>
      <c r="K151" s="29">
        <f t="shared" si="67"/>
        <v>9.6349686119507089E-2</v>
      </c>
      <c r="L151" s="29">
        <f t="shared" si="67"/>
        <v>9.8615844166771841E-2</v>
      </c>
      <c r="M151" s="32">
        <f>AVERAGE(H151:L151)</f>
        <v>0.10916296333547326</v>
      </c>
      <c r="N151" s="32">
        <f>M151</f>
        <v>0.10916296333547326</v>
      </c>
      <c r="O151" s="32">
        <f t="shared" ref="O151:R153" si="68">N151</f>
        <v>0.10916296333547326</v>
      </c>
      <c r="P151" s="32">
        <f t="shared" si="68"/>
        <v>0.10916296333547326</v>
      </c>
      <c r="Q151" s="32">
        <f t="shared" si="68"/>
        <v>0.10916296333547326</v>
      </c>
      <c r="R151" s="32">
        <f t="shared" si="68"/>
        <v>0.10916296333547326</v>
      </c>
    </row>
    <row r="152" spans="1:18" x14ac:dyDescent="0.25">
      <c r="C152" s="28" t="s">
        <v>63</v>
      </c>
      <c r="D152" s="21"/>
      <c r="E152" s="21"/>
      <c r="F152" s="21"/>
      <c r="G152" s="21"/>
      <c r="H152" s="21">
        <v>0</v>
      </c>
      <c r="I152" s="21">
        <v>0</v>
      </c>
      <c r="J152" s="21">
        <v>0</v>
      </c>
      <c r="K152" s="21">
        <v>0</v>
      </c>
      <c r="L152" s="21">
        <v>0</v>
      </c>
      <c r="M152" s="21">
        <f t="shared" ref="M152:R152" ca="1" si="69">M25*M153</f>
        <v>0</v>
      </c>
      <c r="N152" s="21">
        <f t="shared" ca="1" si="69"/>
        <v>0</v>
      </c>
      <c r="O152" s="21">
        <f t="shared" ca="1" si="69"/>
        <v>0</v>
      </c>
      <c r="P152" s="21">
        <f t="shared" ca="1" si="69"/>
        <v>0</v>
      </c>
      <c r="Q152" s="21">
        <f t="shared" ca="1" si="69"/>
        <v>0</v>
      </c>
      <c r="R152" s="21">
        <f t="shared" ca="1" si="69"/>
        <v>0</v>
      </c>
    </row>
    <row r="153" spans="1:18" x14ac:dyDescent="0.25">
      <c r="C153" s="20" t="s">
        <v>28</v>
      </c>
      <c r="D153" s="21"/>
      <c r="E153" s="21"/>
      <c r="F153" s="21"/>
      <c r="G153" s="21"/>
      <c r="H153" s="43">
        <f>H152/H$25</f>
        <v>0</v>
      </c>
      <c r="I153" s="43">
        <f t="shared" ref="I153" si="70">I152/I$25</f>
        <v>0</v>
      </c>
      <c r="J153" s="43">
        <f t="shared" ref="J153" si="71">J152/J$25</f>
        <v>0</v>
      </c>
      <c r="K153" s="43">
        <f t="shared" ref="K153" si="72">K152/K$25</f>
        <v>0</v>
      </c>
      <c r="L153" s="43">
        <f t="shared" ref="L153" si="73">L152/L$25</f>
        <v>0</v>
      </c>
      <c r="M153" s="33">
        <f>AVERAGE(H153:L153)</f>
        <v>0</v>
      </c>
      <c r="N153" s="33">
        <f>M153</f>
        <v>0</v>
      </c>
      <c r="O153" s="33">
        <f t="shared" si="68"/>
        <v>0</v>
      </c>
      <c r="P153" s="33">
        <f t="shared" si="68"/>
        <v>0</v>
      </c>
      <c r="Q153" s="33">
        <f t="shared" si="68"/>
        <v>0</v>
      </c>
      <c r="R153" s="33">
        <f t="shared" si="68"/>
        <v>0</v>
      </c>
    </row>
    <row r="154" spans="1:18" x14ac:dyDescent="0.25">
      <c r="C154" s="16" t="s">
        <v>64</v>
      </c>
      <c r="D154" s="21"/>
      <c r="E154" s="21"/>
      <c r="F154" s="21"/>
      <c r="G154" s="21"/>
      <c r="H154" s="30">
        <f>H152+H150</f>
        <v>1878</v>
      </c>
      <c r="I154" s="30">
        <f t="shared" ref="I154:R154" si="74">I152+I150</f>
        <v>2065</v>
      </c>
      <c r="J154" s="30">
        <f t="shared" si="74"/>
        <v>2224</v>
      </c>
      <c r="K154" s="30">
        <f t="shared" si="74"/>
        <v>2072</v>
      </c>
      <c r="L154" s="30">
        <f t="shared" si="74"/>
        <v>2344</v>
      </c>
      <c r="M154" s="30">
        <f ca="1">M152+M150</f>
        <v>2867.7231480761111</v>
      </c>
      <c r="N154" s="30">
        <f ca="1">N152+N150</f>
        <v>3169.4814675090765</v>
      </c>
      <c r="O154" s="30">
        <f t="shared" ca="1" si="74"/>
        <v>3502.9925324635537</v>
      </c>
      <c r="P154" s="30">
        <f t="shared" ca="1" si="74"/>
        <v>3871.5975494058566</v>
      </c>
      <c r="Q154" s="30">
        <f t="shared" ca="1" si="74"/>
        <v>4278.9893057590716</v>
      </c>
      <c r="R154" s="30">
        <f t="shared" ca="1" si="74"/>
        <v>4729.249165272965</v>
      </c>
    </row>
    <row r="155" spans="1:18" x14ac:dyDescent="0.25">
      <c r="C155" s="28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</row>
    <row r="156" spans="1:18" x14ac:dyDescent="0.25">
      <c r="C156" s="28" t="s">
        <v>65</v>
      </c>
      <c r="D156" s="21"/>
      <c r="E156" s="21"/>
      <c r="F156" s="21"/>
      <c r="G156" s="21"/>
      <c r="H156" s="21">
        <f>'BS - ADOBE'!B17</f>
        <v>312</v>
      </c>
      <c r="I156" s="21">
        <f>'BS - ADOBE'!C17</f>
        <v>379</v>
      </c>
      <c r="J156" s="21">
        <f>'BS - ADOBE'!D17</f>
        <v>314</v>
      </c>
      <c r="K156" s="21">
        <f>'BS - ADOBE'!E17</f>
        <v>361</v>
      </c>
      <c r="L156" s="21">
        <f>'BS - ADOBE'!F17</f>
        <v>417</v>
      </c>
      <c r="M156" s="21">
        <f t="shared" ref="M156:R156" ca="1" si="75">M31*M157*-1</f>
        <v>453.21239257188284</v>
      </c>
      <c r="N156" s="21">
        <f t="shared" ca="1" si="75"/>
        <v>492.41157532944959</v>
      </c>
      <c r="O156" s="21">
        <f t="shared" ca="1" si="75"/>
        <v>534.82334181671843</v>
      </c>
      <c r="P156" s="21">
        <f t="shared" ca="1" si="75"/>
        <v>580.6877374464226</v>
      </c>
      <c r="Q156" s="21">
        <f t="shared" ca="1" si="75"/>
        <v>630.25953772181822</v>
      </c>
      <c r="R156" s="21">
        <f t="shared" ca="1" si="75"/>
        <v>683.80866703991467</v>
      </c>
    </row>
    <row r="157" spans="1:18" x14ac:dyDescent="0.25">
      <c r="C157" s="20" t="s">
        <v>69</v>
      </c>
      <c r="D157" s="21"/>
      <c r="E157" s="21"/>
      <c r="F157" s="21"/>
      <c r="G157" s="21"/>
      <c r="H157" s="29">
        <f>H156/H31*-1</f>
        <v>0.1672922252010724</v>
      </c>
      <c r="I157" s="29">
        <f>I156/I31*-1</f>
        <v>0.17505773672055427</v>
      </c>
      <c r="J157" s="29">
        <f>J156/J31*-1</f>
        <v>0.13338997451146983</v>
      </c>
      <c r="K157" s="29">
        <f>K156/K31*-1</f>
        <v>0.1530958439355386</v>
      </c>
      <c r="L157" s="29">
        <f>L156/L31*-1</f>
        <v>0.16346530772246179</v>
      </c>
      <c r="M157" s="32">
        <f>L157</f>
        <v>0.16346530772246179</v>
      </c>
      <c r="N157" s="32">
        <f t="shared" ref="N157:R157" si="76">M157</f>
        <v>0.16346530772246179</v>
      </c>
      <c r="O157" s="32">
        <f t="shared" si="76"/>
        <v>0.16346530772246179</v>
      </c>
      <c r="P157" s="32">
        <f t="shared" si="76"/>
        <v>0.16346530772246179</v>
      </c>
      <c r="Q157" s="32">
        <f t="shared" si="76"/>
        <v>0.16346530772246179</v>
      </c>
      <c r="R157" s="32">
        <f t="shared" si="76"/>
        <v>0.16346530772246179</v>
      </c>
    </row>
    <row r="158" spans="1:18" x14ac:dyDescent="0.25">
      <c r="C158" s="16" t="s">
        <v>66</v>
      </c>
      <c r="D158" s="21"/>
      <c r="E158" s="21"/>
      <c r="F158" s="21"/>
      <c r="G158" s="21"/>
      <c r="H158" s="30">
        <f>H156</f>
        <v>312</v>
      </c>
      <c r="I158" s="30">
        <f t="shared" ref="I158:R158" si="77">I156</f>
        <v>379</v>
      </c>
      <c r="J158" s="30">
        <f t="shared" si="77"/>
        <v>314</v>
      </c>
      <c r="K158" s="30">
        <f t="shared" si="77"/>
        <v>361</v>
      </c>
      <c r="L158" s="30">
        <f t="shared" si="77"/>
        <v>417</v>
      </c>
      <c r="M158" s="30">
        <f t="shared" ca="1" si="77"/>
        <v>453.21239257188284</v>
      </c>
      <c r="N158" s="30">
        <f t="shared" ca="1" si="77"/>
        <v>492.41157532944959</v>
      </c>
      <c r="O158" s="30">
        <f t="shared" ca="1" si="77"/>
        <v>534.82334181671843</v>
      </c>
      <c r="P158" s="30">
        <f t="shared" ca="1" si="77"/>
        <v>580.6877374464226</v>
      </c>
      <c r="Q158" s="30">
        <f t="shared" ca="1" si="77"/>
        <v>630.25953772181822</v>
      </c>
      <c r="R158" s="30">
        <f t="shared" ca="1" si="77"/>
        <v>683.80866703991467</v>
      </c>
    </row>
    <row r="159" spans="1:18" x14ac:dyDescent="0.25">
      <c r="C159" s="16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</row>
    <row r="160" spans="1:18" x14ac:dyDescent="0.25">
      <c r="C160" s="16" t="s">
        <v>67</v>
      </c>
      <c r="D160" s="21"/>
      <c r="E160" s="21"/>
      <c r="F160" s="21"/>
      <c r="G160" s="21"/>
      <c r="H160" s="30">
        <f>H154-H158</f>
        <v>1566</v>
      </c>
      <c r="I160" s="30">
        <f t="shared" ref="I160:R160" si="78">I154-I158</f>
        <v>1686</v>
      </c>
      <c r="J160" s="30">
        <f t="shared" si="78"/>
        <v>1910</v>
      </c>
      <c r="K160" s="30">
        <f t="shared" si="78"/>
        <v>1711</v>
      </c>
      <c r="L160" s="30">
        <f t="shared" si="78"/>
        <v>1927</v>
      </c>
      <c r="M160" s="30">
        <f t="shared" ca="1" si="78"/>
        <v>2414.5107555042282</v>
      </c>
      <c r="N160" s="30">
        <f t="shared" ca="1" si="78"/>
        <v>2677.069892179627</v>
      </c>
      <c r="O160" s="30">
        <f t="shared" ca="1" si="78"/>
        <v>2968.1691906468354</v>
      </c>
      <c r="P160" s="30">
        <f t="shared" ca="1" si="78"/>
        <v>3290.9098119594341</v>
      </c>
      <c r="Q160" s="30">
        <f t="shared" ca="1" si="78"/>
        <v>3648.7297680372535</v>
      </c>
      <c r="R160" s="30">
        <f t="shared" ca="1" si="78"/>
        <v>4045.4404982330502</v>
      </c>
    </row>
    <row r="161" spans="1:18" x14ac:dyDescent="0.25">
      <c r="C161" s="16" t="s">
        <v>68</v>
      </c>
      <c r="D161" s="21"/>
      <c r="E161" s="21"/>
      <c r="F161" s="21"/>
      <c r="G161" s="21"/>
      <c r="H161" s="21"/>
      <c r="I161" s="30">
        <f>I160-H160</f>
        <v>120</v>
      </c>
      <c r="J161" s="30">
        <f t="shared" ref="J161:L161" si="79">J160-I160</f>
        <v>224</v>
      </c>
      <c r="K161" s="30">
        <f t="shared" si="79"/>
        <v>-199</v>
      </c>
      <c r="L161" s="30">
        <f t="shared" si="79"/>
        <v>216</v>
      </c>
      <c r="M161" s="30">
        <f t="shared" ref="M161" ca="1" si="80">M160-L160</f>
        <v>487.5107555042282</v>
      </c>
      <c r="N161" s="30">
        <f t="shared" ref="N161" ca="1" si="81">N160-M160</f>
        <v>262.5591366753988</v>
      </c>
      <c r="O161" s="30">
        <f t="shared" ref="O161" ca="1" si="82">O160-N160</f>
        <v>291.09929846720843</v>
      </c>
      <c r="P161" s="30">
        <f t="shared" ref="P161" ca="1" si="83">P160-O160</f>
        <v>322.74062131259871</v>
      </c>
      <c r="Q161" s="30">
        <f t="shared" ref="Q161" ca="1" si="84">Q160-P160</f>
        <v>357.81995607781937</v>
      </c>
      <c r="R161" s="30">
        <f t="shared" ref="R161" ca="1" si="85">R160-Q160</f>
        <v>396.71073019579671</v>
      </c>
    </row>
    <row r="162" spans="1:18" x14ac:dyDescent="0.25">
      <c r="C162" s="16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</row>
    <row r="163" spans="1:18" x14ac:dyDescent="0.25">
      <c r="A163" s="5" t="s">
        <v>5</v>
      </c>
      <c r="C163" t="s">
        <v>10</v>
      </c>
    </row>
  </sheetData>
  <conditionalFormatting sqref="F114:L118">
    <cfRule type="cellIs" dxfId="7" priority="7" operator="lessThan">
      <formula>250</formula>
    </cfRule>
    <cfRule type="cellIs" dxfId="6" priority="8" operator="greaterThan">
      <formula>400</formula>
    </cfRule>
  </conditionalFormatting>
  <conditionalFormatting sqref="F123:L127">
    <cfRule type="cellIs" dxfId="5" priority="5" operator="lessThan">
      <formula>250</formula>
    </cfRule>
    <cfRule type="cellIs" dxfId="4" priority="6" operator="greaterThan">
      <formula>400</formula>
    </cfRule>
  </conditionalFormatting>
  <conditionalFormatting sqref="F132:L136">
    <cfRule type="cellIs" dxfId="3" priority="3" operator="lessThan">
      <formula>250</formula>
    </cfRule>
    <cfRule type="cellIs" dxfId="2" priority="4" operator="greaterThan">
      <formula>400</formula>
    </cfRule>
  </conditionalFormatting>
  <conditionalFormatting sqref="F141:L145">
    <cfRule type="cellIs" dxfId="1" priority="1" operator="lessThan">
      <formula>250</formula>
    </cfRule>
    <cfRule type="cellIs" dxfId="0" priority="2" operator="greaterThan">
      <formula>400</formula>
    </cfRule>
  </conditionalFormatting>
  <dataValidations disablePrompts="1" count="1">
    <dataValidation type="list" allowBlank="1" showInputMessage="1" showErrorMessage="1" sqref="E16" xr:uid="{A5690996-6CF1-5540-B889-9C4A94D561CE}">
      <formula1>"1,2,3"</formula1>
    </dataValidation>
  </dataValidations>
  <pageMargins left="0.7" right="0.7" top="0.75" bottom="0.75" header="0.3" footer="0.3"/>
  <pageSetup paperSize="9" scale="3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F783-2EEC-5E4D-A523-49C7A8774E64}">
  <sheetPr>
    <tabColor theme="0" tint="-0.14999847407452621"/>
  </sheetPr>
  <dimension ref="A1:U37"/>
  <sheetViews>
    <sheetView showGridLines="0" tabSelected="1" topLeftCell="A2" zoomScale="140" zoomScaleNormal="100" zoomScaleSheetLayoutView="206" workbookViewId="0">
      <pane xSplit="3" ySplit="2" topLeftCell="F7" activePane="bottomRight" state="frozen"/>
      <selection activeCell="H40" sqref="H40"/>
      <selection pane="topRight" activeCell="H40" sqref="H40"/>
      <selection pane="bottomLeft" activeCell="H40" sqref="H40"/>
      <selection pane="bottomRight" activeCell="C23" sqref="C23:C26"/>
    </sheetView>
  </sheetViews>
  <sheetFormatPr defaultColWidth="11" defaultRowHeight="15.75" x14ac:dyDescent="0.25"/>
  <cols>
    <col min="1" max="1" width="2.875" style="5" customWidth="1"/>
    <col min="2" max="2" width="2.875" customWidth="1"/>
    <col min="3" max="3" width="17" bestFit="1" customWidth="1"/>
    <col min="4" max="19" width="9.125" customWidth="1"/>
  </cols>
  <sheetData>
    <row r="1" spans="1:19" s="1" customFormat="1" x14ac:dyDescent="0.25">
      <c r="A1" s="4"/>
    </row>
    <row r="2" spans="1:19" s="1" customFormat="1" x14ac:dyDescent="0.25">
      <c r="A2" s="4"/>
    </row>
    <row r="3" spans="1:19" s="1" customFormat="1" ht="26.25" x14ac:dyDescent="0.4">
      <c r="A3" s="4"/>
      <c r="C3" s="3" t="s">
        <v>92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6" spans="1:19" x14ac:dyDescent="0.25">
      <c r="A6" s="5" t="s">
        <v>5</v>
      </c>
      <c r="C6" s="61" t="s">
        <v>92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C7" s="68" t="s">
        <v>119</v>
      </c>
    </row>
    <row r="8" spans="1:19" x14ac:dyDescent="0.25">
      <c r="C8" s="6"/>
      <c r="D8" s="6"/>
      <c r="E8" s="6"/>
      <c r="F8" s="6"/>
      <c r="G8" s="6"/>
      <c r="H8" s="6"/>
      <c r="I8" s="6"/>
      <c r="J8" s="6"/>
      <c r="K8" s="6"/>
      <c r="L8" s="6"/>
      <c r="M8" s="66"/>
      <c r="N8" s="6"/>
      <c r="O8" s="6"/>
      <c r="P8" s="6"/>
      <c r="Q8" s="66"/>
      <c r="R8" s="6"/>
      <c r="S8" s="6"/>
    </row>
    <row r="9" spans="1:19" x14ac:dyDescent="0.25">
      <c r="C9" s="54" t="s">
        <v>93</v>
      </c>
      <c r="D9" s="55" t="s">
        <v>118</v>
      </c>
      <c r="E9" s="55" t="s">
        <v>25</v>
      </c>
      <c r="F9" s="55" t="s">
        <v>122</v>
      </c>
      <c r="G9" s="55" t="s">
        <v>23</v>
      </c>
      <c r="H9" s="55" t="s">
        <v>120</v>
      </c>
      <c r="I9" s="55" t="s">
        <v>22</v>
      </c>
      <c r="J9" s="55" t="s">
        <v>121</v>
      </c>
      <c r="K9" s="55" t="s">
        <v>117</v>
      </c>
      <c r="L9" s="55" t="s">
        <v>107</v>
      </c>
      <c r="M9" s="67" t="s">
        <v>116</v>
      </c>
      <c r="N9" s="56" t="s">
        <v>108</v>
      </c>
      <c r="O9" s="56" t="s">
        <v>109</v>
      </c>
      <c r="P9" s="56" t="s">
        <v>112</v>
      </c>
      <c r="Q9" s="87" t="s">
        <v>110</v>
      </c>
      <c r="R9" s="56" t="s">
        <v>124</v>
      </c>
      <c r="S9" s="56"/>
    </row>
    <row r="10" spans="1:19" x14ac:dyDescent="0.25">
      <c r="B10" s="83"/>
      <c r="C10" s="63" t="s">
        <v>106</v>
      </c>
      <c r="D10" s="69">
        <v>150000</v>
      </c>
      <c r="E10" s="70">
        <v>26.27</v>
      </c>
      <c r="F10" s="84">
        <v>1.2500000000000001E-2</v>
      </c>
      <c r="G10" s="70">
        <v>14.33</v>
      </c>
      <c r="H10" s="81">
        <f>G10/E10</f>
        <v>0.54548915112295393</v>
      </c>
      <c r="I10" s="70">
        <v>8.41</v>
      </c>
      <c r="J10" s="81">
        <f>I10/E10</f>
        <v>0.32013703844689761</v>
      </c>
      <c r="K10" s="71">
        <v>302.11</v>
      </c>
      <c r="L10" s="70">
        <v>216.86</v>
      </c>
      <c r="M10" s="72">
        <v>270.85000000000002</v>
      </c>
      <c r="N10" s="58"/>
      <c r="O10" s="58"/>
      <c r="P10" s="58"/>
      <c r="Q10" s="88"/>
      <c r="R10" s="58"/>
      <c r="S10" s="58"/>
    </row>
    <row r="11" spans="1:19" x14ac:dyDescent="0.25">
      <c r="B11" s="83"/>
      <c r="C11" s="59" t="s">
        <v>94</v>
      </c>
      <c r="D11" s="73">
        <v>133000</v>
      </c>
      <c r="E11" s="74">
        <v>54.44</v>
      </c>
      <c r="F11" s="85">
        <v>2.12E-2</v>
      </c>
      <c r="G11" s="74">
        <v>2.5099999999999998</v>
      </c>
      <c r="H11" s="82">
        <f>G11/E11</f>
        <v>4.6105804555473917E-2</v>
      </c>
      <c r="I11" s="74">
        <v>0.47399999999999998</v>
      </c>
      <c r="J11" s="82">
        <f>I11/E11</f>
        <v>8.7068332108743568E-3</v>
      </c>
      <c r="K11" s="75">
        <v>56.93</v>
      </c>
      <c r="L11" s="74">
        <v>19.32</v>
      </c>
      <c r="M11" s="76">
        <v>26.97</v>
      </c>
      <c r="N11" s="86">
        <f>M11/E11</f>
        <v>0.49540778839088906</v>
      </c>
      <c r="O11" s="86">
        <f>M11/G11</f>
        <v>10.745019920318725</v>
      </c>
      <c r="P11" s="86">
        <f>L11/E11</f>
        <v>0.35488611315209406</v>
      </c>
      <c r="Q11" s="89">
        <f>L11/I11</f>
        <v>40.75949367088608</v>
      </c>
      <c r="R11" s="86" t="s">
        <v>0</v>
      </c>
      <c r="S11" s="86"/>
    </row>
    <row r="12" spans="1:19" x14ac:dyDescent="0.25">
      <c r="B12" s="83"/>
      <c r="C12" s="59" t="s">
        <v>95</v>
      </c>
      <c r="D12" s="73">
        <v>381000</v>
      </c>
      <c r="E12" s="74">
        <v>37.18</v>
      </c>
      <c r="F12" s="85">
        <v>2.7900000000000001E-2</v>
      </c>
      <c r="G12" s="74">
        <v>4.71</v>
      </c>
      <c r="H12" s="82">
        <f>G12/E12</f>
        <v>0.12668101129639592</v>
      </c>
      <c r="I12" s="74">
        <v>1.86</v>
      </c>
      <c r="J12" s="82">
        <f>I12/E12</f>
        <v>5.0026896180742339E-2</v>
      </c>
      <c r="K12" s="75">
        <v>89.15</v>
      </c>
      <c r="L12" s="74">
        <v>96.16</v>
      </c>
      <c r="M12" s="76">
        <v>119.55</v>
      </c>
      <c r="N12" s="86">
        <f t="shared" ref="N12:N22" si="0">M12/E12</f>
        <v>3.2154384077460998</v>
      </c>
      <c r="O12" s="86">
        <f t="shared" ref="O12:O22" si="1">M12/G12</f>
        <v>25.38216560509554</v>
      </c>
      <c r="P12" s="86">
        <f t="shared" ref="P12:P22" si="2">L12/E12</f>
        <v>2.5863367401828938</v>
      </c>
      <c r="Q12" s="89">
        <f t="shared" ref="Q12:Q22" si="3">L12/I12</f>
        <v>51.698924731182792</v>
      </c>
      <c r="R12" s="86"/>
      <c r="S12" s="86"/>
    </row>
    <row r="13" spans="1:19" x14ac:dyDescent="0.25">
      <c r="B13" s="83"/>
      <c r="C13" s="59" t="s">
        <v>96</v>
      </c>
      <c r="D13" s="73">
        <v>130000</v>
      </c>
      <c r="E13" s="74">
        <v>11.79</v>
      </c>
      <c r="F13" s="85">
        <v>7.3099999999999998E-2</v>
      </c>
      <c r="G13" s="74">
        <v>2.2799999999999998</v>
      </c>
      <c r="H13" s="82">
        <f>G13/E13</f>
        <v>0.19338422391857507</v>
      </c>
      <c r="I13" s="74">
        <v>1.54</v>
      </c>
      <c r="J13" s="82">
        <f>I13/E13</f>
        <v>0.13061916878710772</v>
      </c>
      <c r="K13" s="75">
        <v>38.909999999999997</v>
      </c>
      <c r="L13" s="74">
        <v>52.55</v>
      </c>
      <c r="M13" s="76">
        <v>55.78</v>
      </c>
      <c r="N13" s="86">
        <f t="shared" si="0"/>
        <v>4.7311280746395257</v>
      </c>
      <c r="O13" s="86">
        <f t="shared" si="1"/>
        <v>24.464912280701757</v>
      </c>
      <c r="P13" s="86">
        <f t="shared" si="2"/>
        <v>4.4571670907548775</v>
      </c>
      <c r="Q13" s="89">
        <f t="shared" si="3"/>
        <v>34.123376623376622</v>
      </c>
      <c r="R13" s="86" t="s">
        <v>0</v>
      </c>
      <c r="S13" s="86"/>
    </row>
    <row r="14" spans="1:19" x14ac:dyDescent="0.25">
      <c r="B14" s="83"/>
      <c r="C14" s="59" t="s">
        <v>97</v>
      </c>
      <c r="D14" s="73">
        <v>6000</v>
      </c>
      <c r="E14" s="78"/>
      <c r="F14" s="78"/>
      <c r="G14" s="78"/>
      <c r="H14" s="78"/>
      <c r="I14" s="78"/>
      <c r="J14" s="78"/>
      <c r="K14" s="79"/>
      <c r="L14" s="78"/>
      <c r="M14" s="80"/>
      <c r="N14" s="78"/>
      <c r="O14" s="78"/>
      <c r="P14" s="78"/>
      <c r="Q14" s="80"/>
      <c r="R14" s="86"/>
      <c r="S14" s="86"/>
    </row>
    <row r="15" spans="1:19" x14ac:dyDescent="0.25">
      <c r="B15" s="83"/>
      <c r="C15" s="59" t="s">
        <v>98</v>
      </c>
      <c r="D15" s="73"/>
      <c r="E15" s="74">
        <v>33.36</v>
      </c>
      <c r="F15" s="78"/>
      <c r="G15" s="78"/>
      <c r="H15" s="78"/>
      <c r="I15" s="78"/>
      <c r="J15" s="78"/>
      <c r="K15" s="79"/>
      <c r="L15" s="78"/>
      <c r="M15" s="80"/>
      <c r="N15" s="78"/>
      <c r="O15" s="78"/>
      <c r="P15" s="78"/>
      <c r="Q15" s="80"/>
      <c r="R15" s="86"/>
      <c r="S15" s="86"/>
    </row>
    <row r="16" spans="1:19" x14ac:dyDescent="0.25">
      <c r="B16" s="83"/>
      <c r="C16" s="59" t="s">
        <v>99</v>
      </c>
      <c r="D16" s="73">
        <v>10700</v>
      </c>
      <c r="E16" s="74">
        <v>4.8499999999999996</v>
      </c>
      <c r="F16" s="85">
        <v>3.9199999999999999E-2</v>
      </c>
      <c r="G16" s="74">
        <v>1.03</v>
      </c>
      <c r="H16" s="82">
        <f>G16/E16</f>
        <v>0.21237113402061858</v>
      </c>
      <c r="I16" s="74">
        <v>0.5</v>
      </c>
      <c r="J16" s="82">
        <f>I16/E16</f>
        <v>0.10309278350515465</v>
      </c>
      <c r="K16" s="75">
        <v>412.22</v>
      </c>
      <c r="L16" s="74">
        <v>14.66</v>
      </c>
      <c r="M16" s="76">
        <v>19.59</v>
      </c>
      <c r="N16" s="86">
        <f t="shared" si="0"/>
        <v>4.0391752577319586</v>
      </c>
      <c r="O16" s="86">
        <f t="shared" si="1"/>
        <v>19.019417475728154</v>
      </c>
      <c r="P16" s="86">
        <f t="shared" si="2"/>
        <v>3.0226804123711344</v>
      </c>
      <c r="Q16" s="89">
        <f t="shared" si="3"/>
        <v>29.32</v>
      </c>
      <c r="R16" s="86" t="s">
        <v>0</v>
      </c>
      <c r="S16" s="86"/>
    </row>
    <row r="17" spans="1:21" x14ac:dyDescent="0.25">
      <c r="B17" s="83"/>
      <c r="C17" s="59" t="s">
        <v>100</v>
      </c>
      <c r="D17" s="73">
        <v>5046</v>
      </c>
      <c r="E17" s="74">
        <v>1.47</v>
      </c>
      <c r="F17" s="85">
        <v>-6.7500000000000004E-2</v>
      </c>
      <c r="G17" s="74">
        <v>3.4000000000000002E-2</v>
      </c>
      <c r="H17" s="82">
        <f>G17/E17</f>
        <v>2.3129251700680274E-2</v>
      </c>
      <c r="I17" s="74">
        <v>-0.08</v>
      </c>
      <c r="J17" s="82">
        <f>I17/E17</f>
        <v>-5.4421768707482998E-2</v>
      </c>
      <c r="K17" s="75">
        <v>20.420000000000002</v>
      </c>
      <c r="L17" s="74">
        <v>0.373</v>
      </c>
      <c r="M17" s="76">
        <v>3.47</v>
      </c>
      <c r="N17" s="86"/>
      <c r="O17" s="86"/>
      <c r="P17" s="86"/>
      <c r="Q17" s="89"/>
      <c r="R17" s="86"/>
      <c r="S17" s="86"/>
    </row>
    <row r="18" spans="1:21" x14ac:dyDescent="0.25">
      <c r="B18" s="83"/>
      <c r="C18" s="59" t="s">
        <v>101</v>
      </c>
      <c r="D18" s="73">
        <v>11400</v>
      </c>
      <c r="E18" s="74">
        <v>2.09</v>
      </c>
      <c r="F18" s="85">
        <v>-6.4000000000000003E-3</v>
      </c>
      <c r="G18" s="74">
        <v>0.17299999999999999</v>
      </c>
      <c r="H18" s="82">
        <f>G18/E18</f>
        <v>8.2775119617224877E-2</v>
      </c>
      <c r="I18" s="74">
        <v>3.7999999999999999E-2</v>
      </c>
      <c r="J18" s="82">
        <f>I18/E18</f>
        <v>1.8181818181818181E-2</v>
      </c>
      <c r="K18" s="75">
        <v>39.950000000000003</v>
      </c>
      <c r="L18" s="74">
        <v>1.58</v>
      </c>
      <c r="M18" s="76">
        <v>2.5299999999999998</v>
      </c>
      <c r="N18" s="86">
        <f t="shared" si="0"/>
        <v>1.2105263157894737</v>
      </c>
      <c r="O18" s="86">
        <f t="shared" si="1"/>
        <v>14.624277456647398</v>
      </c>
      <c r="P18" s="86">
        <f t="shared" si="2"/>
        <v>0.7559808612440192</v>
      </c>
      <c r="Q18" s="89">
        <f t="shared" si="3"/>
        <v>41.578947368421055</v>
      </c>
      <c r="R18" s="86" t="s">
        <v>0</v>
      </c>
      <c r="S18" s="86"/>
    </row>
    <row r="19" spans="1:21" x14ac:dyDescent="0.25">
      <c r="B19" s="83"/>
      <c r="C19" s="59" t="s">
        <v>102</v>
      </c>
      <c r="D19" s="77"/>
      <c r="E19" s="78"/>
      <c r="F19" s="78"/>
      <c r="G19" s="78"/>
      <c r="H19" s="78"/>
      <c r="I19" s="78"/>
      <c r="J19" s="78"/>
      <c r="K19" s="79"/>
      <c r="L19" s="78"/>
      <c r="M19" s="80"/>
      <c r="N19" s="78"/>
      <c r="O19" s="78"/>
      <c r="P19" s="78"/>
      <c r="Q19" s="80"/>
      <c r="R19" s="86"/>
      <c r="S19" s="86"/>
      <c r="T19" s="100"/>
    </row>
    <row r="20" spans="1:21" x14ac:dyDescent="0.25">
      <c r="B20" s="83"/>
      <c r="C20" s="59" t="s">
        <v>103</v>
      </c>
      <c r="D20" s="73">
        <v>14500</v>
      </c>
      <c r="E20" s="74">
        <v>2.21</v>
      </c>
      <c r="F20" s="85">
        <v>-2.0999999999999999E-3</v>
      </c>
      <c r="G20" s="74">
        <v>0.55200000000000005</v>
      </c>
      <c r="H20" s="82">
        <f>G20/E20</f>
        <v>0.24977375565610863</v>
      </c>
      <c r="I20" s="74">
        <v>0.186</v>
      </c>
      <c r="J20" s="82">
        <f>I20/E20</f>
        <v>8.4162895927601816E-2</v>
      </c>
      <c r="K20" s="75">
        <v>8.35</v>
      </c>
      <c r="L20" s="74">
        <v>1.75</v>
      </c>
      <c r="M20" s="76">
        <v>5.55</v>
      </c>
      <c r="N20" s="86">
        <f t="shared" si="0"/>
        <v>2.5113122171945701</v>
      </c>
      <c r="O20" s="86">
        <f t="shared" si="1"/>
        <v>10.054347826086955</v>
      </c>
      <c r="P20" s="86">
        <f t="shared" si="2"/>
        <v>0.79185520361990946</v>
      </c>
      <c r="Q20" s="89">
        <f t="shared" si="3"/>
        <v>9.408602150537634</v>
      </c>
      <c r="R20" s="86"/>
      <c r="S20" s="86"/>
      <c r="T20" s="100"/>
      <c r="U20" s="90"/>
    </row>
    <row r="21" spans="1:21" x14ac:dyDescent="0.25">
      <c r="B21" s="83"/>
      <c r="C21" s="59" t="s">
        <v>104</v>
      </c>
      <c r="D21" s="77"/>
      <c r="E21" s="78"/>
      <c r="F21" s="78"/>
      <c r="G21" s="78"/>
      <c r="H21" s="78"/>
      <c r="I21" s="78"/>
      <c r="J21" s="78"/>
      <c r="K21" s="79"/>
      <c r="L21" s="78"/>
      <c r="M21" s="80"/>
      <c r="N21" s="78"/>
      <c r="O21" s="78"/>
      <c r="P21" s="78"/>
      <c r="Q21" s="80"/>
      <c r="R21" s="86"/>
      <c r="S21" s="86"/>
      <c r="T21" s="100"/>
    </row>
    <row r="22" spans="1:21" x14ac:dyDescent="0.25">
      <c r="B22" s="83"/>
      <c r="C22" s="57" t="s">
        <v>105</v>
      </c>
      <c r="D22" s="101">
        <v>12826</v>
      </c>
      <c r="E22" s="102">
        <v>1.37</v>
      </c>
      <c r="F22" s="103">
        <v>0.13489999999999999</v>
      </c>
      <c r="G22" s="102">
        <v>0.17399999999999999</v>
      </c>
      <c r="H22" s="104">
        <f>G22/E22</f>
        <v>0.12700729927007298</v>
      </c>
      <c r="I22" s="102">
        <v>4.2000000000000003E-2</v>
      </c>
      <c r="J22" s="104">
        <f>I22/E22</f>
        <v>3.0656934306569343E-2</v>
      </c>
      <c r="K22" s="105">
        <v>89.6</v>
      </c>
      <c r="L22" s="102">
        <v>3.77</v>
      </c>
      <c r="M22" s="106">
        <v>4.29</v>
      </c>
      <c r="N22" s="107">
        <f t="shared" si="0"/>
        <v>3.1313868613138682</v>
      </c>
      <c r="O22" s="107">
        <f t="shared" si="1"/>
        <v>24.655172413793107</v>
      </c>
      <c r="P22" s="107">
        <f t="shared" si="2"/>
        <v>2.7518248175182478</v>
      </c>
      <c r="Q22" s="108">
        <f t="shared" si="3"/>
        <v>89.761904761904759</v>
      </c>
      <c r="R22" s="107" t="s">
        <v>0</v>
      </c>
      <c r="S22" s="107"/>
      <c r="T22" s="100"/>
    </row>
    <row r="23" spans="1:21" x14ac:dyDescent="0.25">
      <c r="B23" s="83"/>
      <c r="C23" s="60" t="s">
        <v>123</v>
      </c>
      <c r="D23" s="109" cm="1">
        <f t="array" ref="D23">AVERAGE(IF($R$11:$R$22="X",D11:D22))</f>
        <v>59585.2</v>
      </c>
      <c r="E23" s="110" cm="1">
        <f t="array" ref="E23">AVERAGE(IF($R$11:$R$22="X",E11:E22))</f>
        <v>14.907999999999998</v>
      </c>
      <c r="F23" s="111" cm="1">
        <f t="array" ref="F23">AVERAGE(IF($R$11:$R$22="X",F11:F22))</f>
        <v>5.2400000000000002E-2</v>
      </c>
      <c r="G23" s="110" cm="1">
        <f t="array" ref="G23">AVERAGE(IF($R$11:$R$22="X",G11:G22))</f>
        <v>1.2334000000000001</v>
      </c>
      <c r="H23" s="82" cm="1">
        <f t="array" ref="H23">AVERAGE(IF($R$11:$R$22="X",H11:H22))</f>
        <v>0.13232871627639309</v>
      </c>
      <c r="I23" s="110" cm="1">
        <f t="array" ref="I23">AVERAGE(IF($R$11:$R$22="X",I11:I22))</f>
        <v>0.51879999999999993</v>
      </c>
      <c r="J23" s="82" cm="1">
        <f t="array" ref="J23">AVERAGE(IF($R$11:$R$22="X",J11:J22))</f>
        <v>5.8251507598304851E-2</v>
      </c>
      <c r="K23" s="112" cm="1">
        <f t="array" ref="K23">AVERAGE(IF($R$11:$R$22="X",K11:K22))</f>
        <v>127.52200000000002</v>
      </c>
      <c r="L23" s="110" cm="1">
        <f t="array" ref="L23">AVERAGE(IF($R$11:$R$22="X",L11:L22))</f>
        <v>18.375999999999998</v>
      </c>
      <c r="M23" s="113" cm="1">
        <f t="array" ref="M23">AVERAGE(IF($R$11:$R$22="X",M11:M22))</f>
        <v>21.832000000000001</v>
      </c>
      <c r="N23" s="91" cm="1">
        <f t="array" ref="N23">AVERAGE(IF($R$11:$R$22="X",N11:N22))</f>
        <v>2.7215248595731429</v>
      </c>
      <c r="O23" s="91" cm="1">
        <f t="array" ref="O23">AVERAGE(IF($R$11:$R$22="X",O11:O22))</f>
        <v>18.701759909437829</v>
      </c>
      <c r="P23" s="91" cm="1">
        <f t="array" ref="P23">AVERAGE(IF($R$11:$R$22="X",P11:P22))</f>
        <v>2.2685078590080745</v>
      </c>
      <c r="Q23" s="92" cm="1">
        <f t="array" ref="Q23">AVERAGE(IF($R$11:$R$22="X",Q11:Q22))</f>
        <v>47.1087444849177</v>
      </c>
      <c r="R23" s="86"/>
      <c r="S23" s="86"/>
      <c r="T23" s="100"/>
    </row>
    <row r="24" spans="1:21" x14ac:dyDescent="0.25">
      <c r="B24" s="83"/>
      <c r="C24" s="60" t="s">
        <v>113</v>
      </c>
      <c r="D24" s="109" cm="1">
        <f t="array" ref="D24">MEDIAN(IF($R$11:$R$22="X",D11:D22))</f>
        <v>12826</v>
      </c>
      <c r="E24" s="110" cm="1">
        <f t="array" ref="E24">MEDIAN(IF($R$11:$R$22="X",E11:E22))</f>
        <v>4.8499999999999996</v>
      </c>
      <c r="F24" s="111" cm="1">
        <f t="array" ref="F24">MEDIAN(IF($R$11:$R$22="X",F11:F22))</f>
        <v>3.9199999999999999E-2</v>
      </c>
      <c r="G24" s="110" cm="1">
        <f t="array" ref="G24">MEDIAN(IF($R$11:$R$22="X",G11:G22))</f>
        <v>1.03</v>
      </c>
      <c r="H24" s="82" cm="1">
        <f t="array" ref="H24">MEDIAN(IF($R$11:$R$22="X",H11:H22))</f>
        <v>0.12700729927007298</v>
      </c>
      <c r="I24" s="110" cm="1">
        <f t="array" ref="I24">MEDIAN(IF($R$11:$R$22="X",I11:I22))</f>
        <v>0.47399999999999998</v>
      </c>
      <c r="J24" s="82" cm="1">
        <f t="array" ref="J24">MEDIAN(IF($R$11:$R$22="X",J11:J22))</f>
        <v>3.0656934306569343E-2</v>
      </c>
      <c r="K24" s="112" cm="1">
        <f t="array" ref="K24">MEDIAN(IF($R$11:$R$22="X",K11:K22))</f>
        <v>56.93</v>
      </c>
      <c r="L24" s="110" cm="1">
        <f t="array" ref="L24">MEDIAN(IF($R$11:$R$22="X",L11:L22))</f>
        <v>14.66</v>
      </c>
      <c r="M24" s="113" cm="1">
        <f t="array" ref="M24">MEDIAN(IF($R$11:$R$22="X",M11:M22))</f>
        <v>19.59</v>
      </c>
      <c r="N24" s="91" cm="1">
        <f t="array" ref="N24">MEDIAN(IF($R$11:$R$22="X",N11:N22))</f>
        <v>3.1313868613138682</v>
      </c>
      <c r="O24" s="91" cm="1">
        <f t="array" ref="O24">MEDIAN(IF($R$11:$R$22="X",O11:O22))</f>
        <v>19.019417475728154</v>
      </c>
      <c r="P24" s="91" cm="1">
        <f t="array" ref="P24">MEDIAN(IF($R$11:$R$22="X",P11:P22))</f>
        <v>2.7518248175182478</v>
      </c>
      <c r="Q24" s="92" cm="1">
        <f t="array" ref="Q24">MEDIAN(IF($R$11:$R$22="X",Q11:Q22))</f>
        <v>40.75949367088608</v>
      </c>
      <c r="R24" s="86"/>
      <c r="S24" s="86"/>
      <c r="T24" s="91"/>
    </row>
    <row r="25" spans="1:21" x14ac:dyDescent="0.25">
      <c r="B25" s="83"/>
      <c r="C25" s="60" t="s">
        <v>114</v>
      </c>
      <c r="D25" s="109" cm="1">
        <f t="array" ref="D25">PERCENTILE(IF($R$11:$R$22="X",D11:D22),0.25)</f>
        <v>11400</v>
      </c>
      <c r="E25" s="110" cm="1">
        <f t="array" ref="E25">PERCENTILE(IF($R$11:$R$22="X",E11:E22),0.25)</f>
        <v>2.09</v>
      </c>
      <c r="F25" s="111" cm="1">
        <f t="array" ref="F25">PERCENTILE(IF($R$11:$R$22="X",F11:F22),0.25)</f>
        <v>2.12E-2</v>
      </c>
      <c r="G25" s="110" cm="1">
        <f t="array" ref="G25">PERCENTILE(IF($R$11:$R$22="X",G11:G22),0.25)</f>
        <v>0.17399999999999999</v>
      </c>
      <c r="H25" s="82" cm="1">
        <f t="array" ref="H25">PERCENTILE(IF($R$11:$R$22="X",H11:H22),0.25)</f>
        <v>8.2775119617224877E-2</v>
      </c>
      <c r="I25" s="110" cm="1">
        <f t="array" ref="I25">PERCENTILE(IF($R$11:$R$22="X",I11:I22),0.25)</f>
        <v>4.2000000000000003E-2</v>
      </c>
      <c r="J25" s="82" cm="1">
        <f t="array" ref="J25">PERCENTILE(IF($R$11:$R$22="X",J11:J22),0.25)</f>
        <v>1.8181818181818181E-2</v>
      </c>
      <c r="K25" s="112" cm="1">
        <f t="array" ref="K25">PERCENTILE(IF($R$11:$R$22="X",K11:K22),0.25)</f>
        <v>39.950000000000003</v>
      </c>
      <c r="L25" s="110" cm="1">
        <f t="array" ref="L25">PERCENTILE(IF($R$11:$R$22="X",L11:L22),0.25)</f>
        <v>3.77</v>
      </c>
      <c r="M25" s="113" cm="1">
        <f t="array" ref="M25">PERCENTILE(IF($R$11:$R$22="X",M11:M22),0.25)</f>
        <v>4.29</v>
      </c>
      <c r="N25" s="91" cm="1">
        <f t="array" ref="N25">PERCENTILE(IF($R$11:$R$22="X",N11:N22),0.25)</f>
        <v>1.2105263157894737</v>
      </c>
      <c r="O25" s="91" cm="1">
        <f t="array" ref="O25">PERCENTILE(IF($R$11:$R$22="X",O11:O22),0.25)</f>
        <v>14.624277456647398</v>
      </c>
      <c r="P25" s="91" cm="1">
        <f t="array" ref="P25">PERCENTILE(IF($R$11:$R$22="X",P11:P22),0.25)</f>
        <v>0.7559808612440192</v>
      </c>
      <c r="Q25" s="92" cm="1">
        <f t="array" ref="Q25">PERCENTILE(IF($R$11:$R$22="X",Q11:Q22),0.25)</f>
        <v>34.123376623376622</v>
      </c>
      <c r="R25" s="86"/>
      <c r="S25" s="86"/>
      <c r="T25" s="100"/>
    </row>
    <row r="26" spans="1:21" x14ac:dyDescent="0.25">
      <c r="B26" s="83"/>
      <c r="C26" s="60" t="s">
        <v>115</v>
      </c>
      <c r="D26" s="109" cm="1">
        <f t="array" ref="D26">PERCENTILE(IF($R$11:$R$22="X",D11:D22),0.75)</f>
        <v>130000</v>
      </c>
      <c r="E26" s="110" cm="1">
        <f t="array" ref="E26">PERCENTILE(IF($R$11:$R$22="X",E11:E22),0.75)</f>
        <v>11.79</v>
      </c>
      <c r="F26" s="111" cm="1">
        <f t="array" ref="F26">PERCENTILE(IF($R$11:$R$22="X",F11:F22),0.75)</f>
        <v>7.3099999999999998E-2</v>
      </c>
      <c r="G26" s="110" cm="1">
        <f t="array" ref="G26">PERCENTILE(IF($R$11:$R$22="X",G11:G22),0.75)</f>
        <v>2.2799999999999998</v>
      </c>
      <c r="H26" s="82" cm="1">
        <f t="array" ref="H26">PERCENTILE(IF($R$11:$R$22="X",H11:H22),0.75)</f>
        <v>0.19338422391857507</v>
      </c>
      <c r="I26" s="110" cm="1">
        <f t="array" ref="I26">PERCENTILE(IF($R$11:$R$22="X",I11:I22),0.75)</f>
        <v>0.5</v>
      </c>
      <c r="J26" s="82" cm="1">
        <f t="array" ref="J26">PERCENTILE(IF($R$11:$R$22="X",J11:J22),0.75)</f>
        <v>0.10309278350515465</v>
      </c>
      <c r="K26" s="112" cm="1">
        <f t="array" ref="K26">PERCENTILE(IF($R$11:$R$22="X",K11:K22),0.75)</f>
        <v>89.6</v>
      </c>
      <c r="L26" s="110" cm="1">
        <f t="array" ref="L26">PERCENTILE(IF($R$11:$R$22="X",L11:L22),0.75)</f>
        <v>19.32</v>
      </c>
      <c r="M26" s="113" cm="1">
        <f t="array" ref="M26">PERCENTILE(IF($R$11:$R$22="X",M11:M22),0.75)</f>
        <v>26.97</v>
      </c>
      <c r="N26" s="91" cm="1">
        <f t="array" ref="N26">PERCENTILE(IF($R$11:$R$22="X",N11:N22),0.75)</f>
        <v>4.0391752577319586</v>
      </c>
      <c r="O26" s="91" cm="1">
        <f t="array" ref="O26">PERCENTILE(IF($R$11:$R$22="X",O11:O22),0.75)</f>
        <v>24.464912280701757</v>
      </c>
      <c r="P26" s="91" cm="1">
        <f t="array" ref="P26">PERCENTILE(IF($R$11:$R$22="X",P11:P22),0.75)</f>
        <v>3.0226804123711344</v>
      </c>
      <c r="Q26" s="92" cm="1">
        <f t="array" ref="Q26">PERCENTILE(IF($R$11:$R$22="X",Q11:Q22),0.75)</f>
        <v>41.578947368421055</v>
      </c>
      <c r="R26" s="86"/>
      <c r="S26" s="86"/>
      <c r="T26" s="100"/>
    </row>
    <row r="27" spans="1:21" x14ac:dyDescent="0.25"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00"/>
    </row>
    <row r="28" spans="1:21" x14ac:dyDescent="0.25">
      <c r="A28" s="5" t="s">
        <v>5</v>
      </c>
      <c r="C28" s="61" t="s">
        <v>111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</row>
    <row r="29" spans="1:21" x14ac:dyDescent="0.25"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100"/>
    </row>
    <row r="30" spans="1:21" ht="17.25" x14ac:dyDescent="0.35"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96" t="s">
        <v>49</v>
      </c>
      <c r="O30" s="97"/>
      <c r="P30" s="97"/>
      <c r="Q30" s="115"/>
      <c r="R30" s="96" t="s">
        <v>14</v>
      </c>
      <c r="S30" s="96"/>
      <c r="T30" s="97"/>
      <c r="U30" s="97"/>
    </row>
    <row r="31" spans="1:21" x14ac:dyDescent="0.25">
      <c r="C31" s="54" t="s">
        <v>106</v>
      </c>
      <c r="D31" s="55" t="s">
        <v>25</v>
      </c>
      <c r="E31" s="55" t="s">
        <v>23</v>
      </c>
      <c r="F31" s="55" t="s">
        <v>22</v>
      </c>
      <c r="G31" s="55" t="s">
        <v>126</v>
      </c>
      <c r="H31" s="55" t="s">
        <v>127</v>
      </c>
      <c r="I31" s="55" t="s">
        <v>128</v>
      </c>
      <c r="J31" s="98" t="s">
        <v>108</v>
      </c>
      <c r="K31" s="98" t="s">
        <v>109</v>
      </c>
      <c r="L31" s="98" t="s">
        <v>112</v>
      </c>
      <c r="M31" s="98" t="s">
        <v>110</v>
      </c>
      <c r="N31" s="98" t="s">
        <v>108</v>
      </c>
      <c r="O31" s="98" t="s">
        <v>109</v>
      </c>
      <c r="P31" s="98" t="s">
        <v>112</v>
      </c>
      <c r="Q31" s="116" t="s">
        <v>110</v>
      </c>
      <c r="R31" s="98" t="s">
        <v>108</v>
      </c>
      <c r="S31" s="98" t="s">
        <v>109</v>
      </c>
      <c r="T31" s="98" t="s">
        <v>112</v>
      </c>
      <c r="U31" s="98" t="s">
        <v>110</v>
      </c>
    </row>
    <row r="32" spans="1:21" x14ac:dyDescent="0.25">
      <c r="C32" s="60" t="s">
        <v>123</v>
      </c>
      <c r="D32" s="99">
        <f>E10</f>
        <v>26.27</v>
      </c>
      <c r="E32" s="99">
        <f>G10</f>
        <v>14.33</v>
      </c>
      <c r="F32" s="99">
        <f>I10</f>
        <v>8.41</v>
      </c>
      <c r="G32" s="95">
        <f ca="1">'DCF model'!R107</f>
        <v>359.77367480232004</v>
      </c>
      <c r="H32" s="99">
        <f>'DCF model'!R104/1000</f>
        <v>5.431</v>
      </c>
      <c r="I32" s="99">
        <f>'DCF model'!R105/1000</f>
        <v>-6.21</v>
      </c>
      <c r="J32" s="93">
        <f>N23</f>
        <v>2.7215248595731429</v>
      </c>
      <c r="K32" s="93">
        <f>O23</f>
        <v>18.701759909437829</v>
      </c>
      <c r="L32" s="93">
        <f t="shared" ref="L32:M32" si="4">P23</f>
        <v>2.2685078590080745</v>
      </c>
      <c r="M32" s="93">
        <f t="shared" si="4"/>
        <v>47.1087444849177</v>
      </c>
      <c r="N32" s="94">
        <f>J32*D32+H32+I32</f>
        <v>70.715458060986464</v>
      </c>
      <c r="O32" s="94">
        <f>K32*E32+H32+I32</f>
        <v>267.21721950224412</v>
      </c>
      <c r="P32" s="94">
        <f>L32*D32</f>
        <v>59.593701456142114</v>
      </c>
      <c r="Q32" s="117">
        <f>M32*F32</f>
        <v>396.18454111815788</v>
      </c>
      <c r="R32" s="114">
        <f ca="1">N32*1000/$G32</f>
        <v>196.55539861231239</v>
      </c>
      <c r="S32" s="114">
        <f ca="1">O32*1000/$G32</f>
        <v>742.73699888983913</v>
      </c>
      <c r="T32" s="114">
        <f ca="1">P32*1000/$G32</f>
        <v>165.64219571897877</v>
      </c>
      <c r="U32" s="114">
        <f ca="1">Q32*1000/$G32</f>
        <v>1101.204920943268</v>
      </c>
    </row>
    <row r="33" spans="1:21" x14ac:dyDescent="0.25">
      <c r="C33" s="60" t="s">
        <v>113</v>
      </c>
      <c r="D33" s="99">
        <f>D32</f>
        <v>26.27</v>
      </c>
      <c r="E33" s="99">
        <f t="shared" ref="E33:I33" si="5">E32</f>
        <v>14.33</v>
      </c>
      <c r="F33" s="99">
        <f t="shared" si="5"/>
        <v>8.41</v>
      </c>
      <c r="G33" s="99">
        <f t="shared" ca="1" si="5"/>
        <v>359.77367480232004</v>
      </c>
      <c r="H33" s="99">
        <f t="shared" si="5"/>
        <v>5.431</v>
      </c>
      <c r="I33" s="99">
        <f t="shared" si="5"/>
        <v>-6.21</v>
      </c>
      <c r="J33" s="93">
        <f t="shared" ref="J33:J35" si="6">N24</f>
        <v>3.1313868613138682</v>
      </c>
      <c r="K33" s="93">
        <f t="shared" ref="K33:K35" si="7">O24</f>
        <v>19.019417475728154</v>
      </c>
      <c r="L33" s="93">
        <f>P24</f>
        <v>2.7518248175182478</v>
      </c>
      <c r="M33" s="93">
        <f t="shared" ref="M33" si="8">Q24</f>
        <v>40.75949367088608</v>
      </c>
      <c r="N33" s="94">
        <f t="shared" ref="N33:N35" si="9">J33*D33+H33+I33</f>
        <v>81.482532846715316</v>
      </c>
      <c r="O33" s="94">
        <f t="shared" ref="O33:O35" si="10">K33*E33+H33+I33</f>
        <v>271.76925242718448</v>
      </c>
      <c r="P33" s="94">
        <f t="shared" ref="P33:P35" si="11">L33*D33</f>
        <v>72.290437956204372</v>
      </c>
      <c r="Q33" s="117">
        <f>M33*F33</f>
        <v>342.78734177215193</v>
      </c>
      <c r="R33" s="114">
        <f t="shared" ref="R33:R35" ca="1" si="12">N33*1000/$G33</f>
        <v>226.48275444690725</v>
      </c>
      <c r="S33" s="114">
        <f t="shared" ref="S33:U35" ca="1" si="13">O33*1000/$G33</f>
        <v>755.3894891740199</v>
      </c>
      <c r="T33" s="114">
        <f t="shared" ca="1" si="13"/>
        <v>200.93309494065906</v>
      </c>
      <c r="U33" s="114">
        <f t="shared" ca="1" si="13"/>
        <v>952.78605907032704</v>
      </c>
    </row>
    <row r="34" spans="1:21" x14ac:dyDescent="0.25">
      <c r="C34" s="60" t="s">
        <v>114</v>
      </c>
      <c r="D34" s="99">
        <f t="shared" ref="D34:D35" si="14">D33</f>
        <v>26.27</v>
      </c>
      <c r="E34" s="99">
        <f t="shared" ref="E34:E35" si="15">E33</f>
        <v>14.33</v>
      </c>
      <c r="F34" s="99">
        <f t="shared" ref="F34:F35" si="16">F33</f>
        <v>8.41</v>
      </c>
      <c r="G34" s="99">
        <f t="shared" ref="G34:G35" ca="1" si="17">G33</f>
        <v>359.77367480232004</v>
      </c>
      <c r="H34" s="99">
        <f t="shared" ref="H34:H35" si="18">H33</f>
        <v>5.431</v>
      </c>
      <c r="I34" s="99">
        <f t="shared" ref="I34:I35" si="19">I33</f>
        <v>-6.21</v>
      </c>
      <c r="J34" s="93">
        <f t="shared" si="6"/>
        <v>1.2105263157894737</v>
      </c>
      <c r="K34" s="93">
        <f t="shared" si="7"/>
        <v>14.624277456647398</v>
      </c>
      <c r="L34" s="93">
        <f t="shared" ref="L34:L35" si="20">P25</f>
        <v>0.7559808612440192</v>
      </c>
      <c r="M34" s="93">
        <f>Q25</f>
        <v>34.123376623376622</v>
      </c>
      <c r="N34" s="94">
        <f t="shared" si="9"/>
        <v>31.021526315789473</v>
      </c>
      <c r="O34" s="94">
        <f t="shared" si="10"/>
        <v>208.78689595375721</v>
      </c>
      <c r="P34" s="94">
        <f t="shared" si="11"/>
        <v>19.859617224880385</v>
      </c>
      <c r="Q34" s="117">
        <f>M34*F34</f>
        <v>286.97759740259738</v>
      </c>
      <c r="R34" s="114">
        <f ca="1">N34*1000/$G34</f>
        <v>86.225114533003151</v>
      </c>
      <c r="S34" s="114">
        <f t="shared" ca="1" si="13"/>
        <v>580.32844139715485</v>
      </c>
      <c r="T34" s="114">
        <f t="shared" ca="1" si="13"/>
        <v>55.200306792297624</v>
      </c>
      <c r="U34" s="114">
        <f t="shared" ca="1" si="13"/>
        <v>797.66146747751634</v>
      </c>
    </row>
    <row r="35" spans="1:21" x14ac:dyDescent="0.25">
      <c r="C35" s="60" t="s">
        <v>115</v>
      </c>
      <c r="D35" s="99">
        <f t="shared" si="14"/>
        <v>26.27</v>
      </c>
      <c r="E35" s="99">
        <f t="shared" si="15"/>
        <v>14.33</v>
      </c>
      <c r="F35" s="99">
        <f t="shared" si="16"/>
        <v>8.41</v>
      </c>
      <c r="G35" s="99">
        <f t="shared" ca="1" si="17"/>
        <v>359.77367480232004</v>
      </c>
      <c r="H35" s="99">
        <f t="shared" si="18"/>
        <v>5.431</v>
      </c>
      <c r="I35" s="99">
        <f t="shared" si="19"/>
        <v>-6.21</v>
      </c>
      <c r="J35" s="93">
        <f t="shared" si="6"/>
        <v>4.0391752577319586</v>
      </c>
      <c r="K35" s="93">
        <f t="shared" si="7"/>
        <v>24.464912280701757</v>
      </c>
      <c r="L35" s="93">
        <f t="shared" si="20"/>
        <v>3.0226804123711344</v>
      </c>
      <c r="M35" s="93">
        <f>Q26</f>
        <v>41.578947368421055</v>
      </c>
      <c r="N35" s="94">
        <f t="shared" si="9"/>
        <v>105.33013402061856</v>
      </c>
      <c r="O35" s="94">
        <f t="shared" si="10"/>
        <v>349.80319298245621</v>
      </c>
      <c r="P35" s="94">
        <f t="shared" si="11"/>
        <v>79.4058144329897</v>
      </c>
      <c r="Q35" s="117">
        <f>M35*F35</f>
        <v>349.67894736842106</v>
      </c>
      <c r="R35" s="114">
        <f t="shared" ca="1" si="12"/>
        <v>292.76776317359207</v>
      </c>
      <c r="S35" s="114">
        <f t="shared" ca="1" si="13"/>
        <v>972.28679439833331</v>
      </c>
      <c r="T35" s="114">
        <f t="shared" ca="1" si="13"/>
        <v>220.71046325615609</v>
      </c>
      <c r="U35" s="114">
        <f t="shared" ca="1" si="13"/>
        <v>971.941450581548</v>
      </c>
    </row>
    <row r="36" spans="1:21" x14ac:dyDescent="0.25"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</row>
    <row r="37" spans="1:21" x14ac:dyDescent="0.25">
      <c r="A37" s="5" t="s">
        <v>5</v>
      </c>
      <c r="C37" t="s">
        <v>10</v>
      </c>
    </row>
  </sheetData>
  <conditionalFormatting sqref="D10:D26">
    <cfRule type="colorScale" priority="11">
      <colorScale>
        <cfvo type="min"/>
        <cfvo type="max"/>
        <color rgb="FFFCFCFF"/>
        <color rgb="FF63BE7B"/>
      </colorScale>
    </cfRule>
  </conditionalFormatting>
  <conditionalFormatting sqref="E10:F14 E15 E16:F22">
    <cfRule type="colorScale" priority="10">
      <colorScale>
        <cfvo type="min"/>
        <cfvo type="max"/>
        <color rgb="FFFCFCFF"/>
        <color rgb="FF63BE7B"/>
      </colorScale>
    </cfRule>
  </conditionalFormatting>
  <conditionalFormatting sqref="E23:F26">
    <cfRule type="colorScale" priority="3">
      <colorScale>
        <cfvo type="min"/>
        <cfvo type="max"/>
        <color rgb="FFFCFCFF"/>
        <color rgb="FF63BE7B"/>
      </colorScale>
    </cfRule>
  </conditionalFormatting>
  <conditionalFormatting sqref="F10:F26">
    <cfRule type="colorScale" priority="9">
      <colorScale>
        <cfvo type="min"/>
        <cfvo type="max"/>
        <color rgb="FFFCFCFF"/>
        <color rgb="FF63BE7B"/>
      </colorScale>
    </cfRule>
  </conditionalFormatting>
  <conditionalFormatting sqref="H10:H26">
    <cfRule type="colorScale" priority="13">
      <colorScale>
        <cfvo type="min"/>
        <cfvo type="max"/>
        <color rgb="FFFCFCFF"/>
        <color rgb="FF63BE7B"/>
      </colorScale>
    </cfRule>
  </conditionalFormatting>
  <conditionalFormatting sqref="J10:J26">
    <cfRule type="colorScale" priority="12">
      <colorScale>
        <cfvo type="min"/>
        <cfvo type="max"/>
        <color rgb="FFFCFCFF"/>
        <color rgb="FF63BE7B"/>
      </colorScale>
    </cfRule>
  </conditionalFormatting>
  <conditionalFormatting sqref="N11:N13 N16:N18 N20 N22 R23:S23">
    <cfRule type="colorScale" priority="8">
      <colorScale>
        <cfvo type="min"/>
        <cfvo type="max"/>
        <color rgb="FFFCFCFF"/>
        <color rgb="FF63BE7B"/>
      </colorScale>
    </cfRule>
  </conditionalFormatting>
  <conditionalFormatting sqref="O11:O13 O16:O18 O20 O22">
    <cfRule type="colorScale" priority="7">
      <colorScale>
        <cfvo type="min"/>
        <cfvo type="max"/>
        <color rgb="FFFCFCFF"/>
        <color rgb="FF63BE7B"/>
      </colorScale>
    </cfRule>
  </conditionalFormatting>
  <conditionalFormatting sqref="P11:P13 P16:P18 P20 P22">
    <cfRule type="colorScale" priority="6">
      <colorScale>
        <cfvo type="min"/>
        <cfvo type="max"/>
        <color rgb="FFFCFCFF"/>
        <color rgb="FF63BE7B"/>
      </colorScale>
    </cfRule>
  </conditionalFormatting>
  <conditionalFormatting sqref="Q11:R13 Q16:Q18 Q20 Q22 R14:R22 R24:R26">
    <cfRule type="colorScale" priority="5">
      <colorScale>
        <cfvo type="min"/>
        <cfvo type="max"/>
        <color rgb="FFFCFCFF"/>
        <color rgb="FF63BE7B"/>
      </colorScale>
    </cfRule>
  </conditionalFormatting>
  <conditionalFormatting sqref="R32:U35">
    <cfRule type="colorScale" priority="1">
      <colorScale>
        <cfvo type="min"/>
        <cfvo type="max"/>
        <color rgb="FFFCFCFF"/>
        <color rgb="FF63BE7B"/>
      </colorScale>
    </cfRule>
  </conditionalFormatting>
  <conditionalFormatting sqref="S11:S22 S24:S2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scale="35" orientation="portrait" horizontalDpi="0" verticalDpi="0"/>
  <ignoredErrors>
    <ignoredError sqref="D23:M2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2EE5-E97F-4209-98D4-554372835AC3}">
  <sheetPr>
    <tabColor rgb="FFFF0000"/>
  </sheetPr>
  <dimension ref="N33"/>
  <sheetViews>
    <sheetView showGridLines="0" workbookViewId="0">
      <selection activeCell="H40" sqref="H40"/>
    </sheetView>
  </sheetViews>
  <sheetFormatPr defaultRowHeight="15.75" x14ac:dyDescent="0.25"/>
  <cols>
    <col min="1" max="16384" width="9" style="275"/>
  </cols>
  <sheetData>
    <row r="33" spans="14:14" x14ac:dyDescent="0.25">
      <c r="N33" s="27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470E-620C-124D-830B-6574DF490C47}">
  <dimension ref="C1:F21"/>
  <sheetViews>
    <sheetView showGridLines="0" workbookViewId="0">
      <selection activeCell="D19" sqref="D19"/>
    </sheetView>
  </sheetViews>
  <sheetFormatPr defaultColWidth="11" defaultRowHeight="15.75" x14ac:dyDescent="0.25"/>
  <cols>
    <col min="1" max="2" width="2.875" customWidth="1"/>
    <col min="4" max="4" width="20.375" bestFit="1" customWidth="1"/>
  </cols>
  <sheetData>
    <row r="1" spans="3:6" s="1" customFormat="1" x14ac:dyDescent="0.25"/>
    <row r="2" spans="3:6" s="1" customFormat="1" x14ac:dyDescent="0.25"/>
    <row r="3" spans="3:6" s="1" customFormat="1" ht="26.25" x14ac:dyDescent="0.4">
      <c r="C3" s="3" t="s">
        <v>72</v>
      </c>
    </row>
    <row r="5" spans="3:6" x14ac:dyDescent="0.25">
      <c r="C5" s="16" t="s">
        <v>75</v>
      </c>
    </row>
    <row r="6" spans="3:6" x14ac:dyDescent="0.25">
      <c r="C6" s="16" t="s">
        <v>73</v>
      </c>
    </row>
    <row r="7" spans="3:6" x14ac:dyDescent="0.25">
      <c r="C7" s="16" t="s">
        <v>74</v>
      </c>
    </row>
    <row r="9" spans="3:6" x14ac:dyDescent="0.25">
      <c r="C9" s="28" t="s">
        <v>76</v>
      </c>
      <c r="D9" s="46">
        <v>0.04</v>
      </c>
      <c r="F9" s="19" t="s">
        <v>86</v>
      </c>
    </row>
    <row r="10" spans="3:6" x14ac:dyDescent="0.25">
      <c r="C10" s="28" t="s">
        <v>77</v>
      </c>
      <c r="D10" s="45">
        <v>1.48</v>
      </c>
      <c r="F10" s="19" t="s">
        <v>248</v>
      </c>
    </row>
    <row r="11" spans="3:6" x14ac:dyDescent="0.25">
      <c r="C11" s="28" t="s">
        <v>78</v>
      </c>
      <c r="D11" s="46">
        <v>4.4999999999999998E-2</v>
      </c>
      <c r="F11" s="19" t="s">
        <v>87</v>
      </c>
    </row>
    <row r="12" spans="3:6" x14ac:dyDescent="0.25">
      <c r="C12" s="16" t="s">
        <v>79</v>
      </c>
      <c r="D12" s="48">
        <f>D9+D10*D11</f>
        <v>0.1066</v>
      </c>
    </row>
    <row r="14" spans="3:6" x14ac:dyDescent="0.25">
      <c r="C14" s="28" t="s">
        <v>80</v>
      </c>
      <c r="D14" s="47">
        <v>112411</v>
      </c>
      <c r="F14" s="19" t="s">
        <v>248</v>
      </c>
    </row>
    <row r="15" spans="3:6" x14ac:dyDescent="0.25">
      <c r="C15" s="28" t="s">
        <v>81</v>
      </c>
      <c r="D15" s="36">
        <f>'BS - ADOBE'!F25</f>
        <v>6210</v>
      </c>
      <c r="F15" s="19" t="s">
        <v>88</v>
      </c>
    </row>
    <row r="16" spans="3:6" x14ac:dyDescent="0.25">
      <c r="C16" s="16" t="s">
        <v>82</v>
      </c>
      <c r="D16" s="31">
        <f>E/(SUM(D14:D15))</f>
        <v>0.94764839278036772</v>
      </c>
    </row>
    <row r="17" spans="3:4" x14ac:dyDescent="0.25">
      <c r="C17" s="16" t="s">
        <v>83</v>
      </c>
      <c r="D17" s="31">
        <f>D/SUM(D14:D15)</f>
        <v>5.2351607219632272E-2</v>
      </c>
    </row>
    <row r="18" spans="3:4" x14ac:dyDescent="0.25">
      <c r="C18" s="28" t="s">
        <v>85</v>
      </c>
      <c r="D18" s="49">
        <f>(1-'DCF model'!M71)</f>
        <v>0.80546242005813284</v>
      </c>
    </row>
    <row r="19" spans="3:4" x14ac:dyDescent="0.25">
      <c r="C19" s="16" t="s">
        <v>84</v>
      </c>
      <c r="D19" s="48">
        <f>-'IS - ADOBE'!F17/D</f>
        <v>4.2351046698872782E-2</v>
      </c>
    </row>
    <row r="21" spans="3:4" x14ac:dyDescent="0.25">
      <c r="C21" s="50" t="s">
        <v>72</v>
      </c>
      <c r="D21" s="51">
        <f>ke*E_perc+kd*Tax_shield*D_perc</f>
        <v>0.1028051459393808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8C96-B4E5-4DE0-8BE0-E7FD9C492D4F}">
  <dimension ref="A1:H44"/>
  <sheetViews>
    <sheetView showGridLines="0" zoomScale="120" zoomScaleNormal="120" workbookViewId="0">
      <selection activeCell="J17" sqref="J17"/>
    </sheetView>
  </sheetViews>
  <sheetFormatPr defaultRowHeight="15" x14ac:dyDescent="0.25"/>
  <cols>
    <col min="1" max="1" width="51.75" style="144" bestFit="1" customWidth="1"/>
    <col min="2" max="2" width="11.875" style="144" customWidth="1"/>
    <col min="3" max="3" width="13.875" style="144" customWidth="1"/>
    <col min="4" max="5" width="9.375" style="144" bestFit="1" customWidth="1"/>
    <col min="6" max="6" width="12.75" style="144" bestFit="1" customWidth="1"/>
    <col min="7" max="16384" width="9" style="144"/>
  </cols>
  <sheetData>
    <row r="1" spans="1:8" ht="15.75" customHeight="1" x14ac:dyDescent="0.25">
      <c r="A1" s="196" t="s">
        <v>209</v>
      </c>
      <c r="B1" s="327" t="s">
        <v>208</v>
      </c>
      <c r="C1" s="327"/>
      <c r="D1" s="327"/>
      <c r="E1" s="327"/>
      <c r="F1" s="327"/>
    </row>
    <row r="2" spans="1:8" ht="24" customHeight="1" x14ac:dyDescent="0.25">
      <c r="A2" s="196" t="s">
        <v>207</v>
      </c>
      <c r="B2" s="195" t="s">
        <v>179</v>
      </c>
      <c r="C2" s="195" t="s">
        <v>178</v>
      </c>
      <c r="D2" s="196" t="s">
        <v>177</v>
      </c>
      <c r="E2" s="196" t="s">
        <v>176</v>
      </c>
      <c r="F2" s="196" t="s">
        <v>175</v>
      </c>
    </row>
    <row r="3" spans="1:8" x14ac:dyDescent="0.25">
      <c r="A3" s="168" t="s">
        <v>183</v>
      </c>
      <c r="D3" s="169"/>
      <c r="E3" s="169"/>
      <c r="F3" s="169"/>
    </row>
    <row r="4" spans="1:8" x14ac:dyDescent="0.25">
      <c r="A4" s="144" t="s">
        <v>25</v>
      </c>
      <c r="B4" s="194">
        <v>15785</v>
      </c>
      <c r="C4" s="194">
        <v>17606</v>
      </c>
      <c r="D4" s="174">
        <v>19409</v>
      </c>
      <c r="E4" s="174">
        <v>21505</v>
      </c>
      <c r="F4" s="174">
        <v>23769</v>
      </c>
    </row>
    <row r="5" spans="1:8" x14ac:dyDescent="0.25">
      <c r="A5" s="168" t="s">
        <v>182</v>
      </c>
      <c r="D5" s="169"/>
      <c r="E5" s="169"/>
      <c r="F5" s="169"/>
    </row>
    <row r="6" spans="1:8" x14ac:dyDescent="0.25">
      <c r="A6" s="144" t="s">
        <v>181</v>
      </c>
      <c r="B6" s="157">
        <v>1865</v>
      </c>
      <c r="C6" s="157">
        <v>2165</v>
      </c>
      <c r="D6" s="153">
        <v>2354</v>
      </c>
      <c r="E6" s="153">
        <v>2358</v>
      </c>
      <c r="F6" s="153">
        <v>2551</v>
      </c>
    </row>
    <row r="7" spans="1:8" ht="15.75" thickBot="1" x14ac:dyDescent="0.3">
      <c r="A7" s="144" t="s">
        <v>206</v>
      </c>
      <c r="B7" s="152">
        <v>13920</v>
      </c>
      <c r="C7" s="152">
        <v>15441</v>
      </c>
      <c r="D7" s="150">
        <v>17055</v>
      </c>
      <c r="E7" s="150">
        <v>19147</v>
      </c>
      <c r="F7" s="150">
        <v>21218</v>
      </c>
      <c r="H7" s="326"/>
    </row>
    <row r="8" spans="1:8" x14ac:dyDescent="0.25">
      <c r="A8" s="168" t="s">
        <v>205</v>
      </c>
      <c r="B8" s="167"/>
      <c r="C8" s="167"/>
      <c r="D8" s="165"/>
      <c r="E8" s="165"/>
      <c r="F8" s="165"/>
    </row>
    <row r="9" spans="1:8" x14ac:dyDescent="0.25">
      <c r="A9" s="144" t="s">
        <v>204</v>
      </c>
      <c r="B9" s="160">
        <v>2540</v>
      </c>
      <c r="C9" s="160">
        <v>2987</v>
      </c>
      <c r="D9" s="158">
        <v>3473</v>
      </c>
      <c r="E9" s="158">
        <v>3944</v>
      </c>
      <c r="F9" s="158">
        <v>4294</v>
      </c>
    </row>
    <row r="10" spans="1:8" x14ac:dyDescent="0.25">
      <c r="A10" s="144" t="s">
        <v>203</v>
      </c>
      <c r="B10" s="157">
        <v>4321</v>
      </c>
      <c r="C10" s="157">
        <v>4968</v>
      </c>
      <c r="D10" s="153">
        <v>5351</v>
      </c>
      <c r="E10" s="153">
        <v>5764</v>
      </c>
      <c r="F10" s="153">
        <v>6488</v>
      </c>
    </row>
    <row r="11" spans="1:8" x14ac:dyDescent="0.25">
      <c r="A11" s="144" t="s">
        <v>202</v>
      </c>
      <c r="B11" s="160">
        <v>1085</v>
      </c>
      <c r="C11" s="160">
        <v>1219</v>
      </c>
      <c r="D11" s="158">
        <v>1413</v>
      </c>
      <c r="E11" s="158">
        <v>1529</v>
      </c>
      <c r="F11" s="158">
        <v>1573</v>
      </c>
    </row>
    <row r="12" spans="1:8" x14ac:dyDescent="0.25">
      <c r="A12" s="144" t="s">
        <v>201</v>
      </c>
      <c r="D12" s="161">
        <v>0</v>
      </c>
      <c r="E12" s="153">
        <v>1000</v>
      </c>
      <c r="F12" s="161">
        <v>0</v>
      </c>
    </row>
    <row r="13" spans="1:8" x14ac:dyDescent="0.25">
      <c r="A13" s="144" t="s">
        <v>200</v>
      </c>
      <c r="B13" s="163">
        <v>172</v>
      </c>
      <c r="C13" s="163">
        <v>169</v>
      </c>
      <c r="D13" s="155">
        <v>168</v>
      </c>
      <c r="E13" s="155">
        <v>169</v>
      </c>
      <c r="F13" s="155">
        <v>157</v>
      </c>
    </row>
    <row r="14" spans="1:8" ht="15.75" thickBot="1" x14ac:dyDescent="0.3">
      <c r="A14" s="144" t="s">
        <v>199</v>
      </c>
      <c r="B14" s="152">
        <v>8118</v>
      </c>
      <c r="C14" s="152">
        <v>9343</v>
      </c>
      <c r="D14" s="172">
        <v>10405</v>
      </c>
      <c r="E14" s="172">
        <v>12406</v>
      </c>
      <c r="F14" s="172">
        <v>12512</v>
      </c>
    </row>
    <row r="15" spans="1:8" ht="15.75" thickBot="1" x14ac:dyDescent="0.3">
      <c r="A15" s="144" t="s">
        <v>198</v>
      </c>
      <c r="B15" s="173">
        <v>5802</v>
      </c>
      <c r="C15" s="173">
        <v>6098</v>
      </c>
      <c r="D15" s="150">
        <v>6650</v>
      </c>
      <c r="E15" s="150">
        <v>6741</v>
      </c>
      <c r="F15" s="150">
        <v>8706</v>
      </c>
    </row>
    <row r="16" spans="1:8" x14ac:dyDescent="0.25">
      <c r="A16" s="168" t="s">
        <v>197</v>
      </c>
      <c r="B16" s="171"/>
      <c r="C16" s="171"/>
      <c r="D16" s="165"/>
      <c r="E16" s="165"/>
      <c r="F16" s="165"/>
    </row>
    <row r="17" spans="1:6" x14ac:dyDescent="0.25">
      <c r="A17" s="144" t="s">
        <v>196</v>
      </c>
      <c r="B17" s="161">
        <v>-113</v>
      </c>
      <c r="C17" s="161">
        <v>-112</v>
      </c>
      <c r="D17" s="155">
        <v>-113</v>
      </c>
      <c r="E17" s="155">
        <v>-169</v>
      </c>
      <c r="F17" s="155">
        <v>-263</v>
      </c>
    </row>
    <row r="18" spans="1:6" x14ac:dyDescent="0.25">
      <c r="A18" s="144" t="s">
        <v>195</v>
      </c>
      <c r="B18" s="164">
        <v>16</v>
      </c>
      <c r="C18" s="155">
        <v>-19</v>
      </c>
      <c r="D18" s="161">
        <v>16</v>
      </c>
      <c r="E18" s="161">
        <v>48</v>
      </c>
      <c r="F18" s="161">
        <v>43</v>
      </c>
    </row>
    <row r="19" spans="1:6" x14ac:dyDescent="0.25">
      <c r="A19" s="144" t="s">
        <v>194</v>
      </c>
      <c r="B19" s="163">
        <v>0</v>
      </c>
      <c r="C19" s="163">
        <v>41</v>
      </c>
      <c r="D19" s="155">
        <v>246</v>
      </c>
      <c r="E19" s="155">
        <v>311</v>
      </c>
      <c r="F19" s="155">
        <v>248</v>
      </c>
    </row>
    <row r="20" spans="1:6" ht="15.75" thickBot="1" x14ac:dyDescent="0.3">
      <c r="A20" s="144" t="s">
        <v>193</v>
      </c>
      <c r="B20" s="192">
        <v>-97</v>
      </c>
      <c r="C20" s="192">
        <v>-90</v>
      </c>
      <c r="D20" s="193">
        <v>149</v>
      </c>
      <c r="E20" s="193">
        <v>190</v>
      </c>
      <c r="F20" s="193">
        <v>28</v>
      </c>
    </row>
    <row r="21" spans="1:6" ht="15.75" thickBot="1" x14ac:dyDescent="0.3">
      <c r="A21" s="144" t="s">
        <v>192</v>
      </c>
      <c r="B21" s="157">
        <v>5705</v>
      </c>
      <c r="C21" s="157">
        <v>6008</v>
      </c>
      <c r="D21" s="150">
        <v>6799</v>
      </c>
      <c r="E21" s="150">
        <v>6931</v>
      </c>
      <c r="F21" s="150">
        <v>8734</v>
      </c>
    </row>
    <row r="22" spans="1:6" x14ac:dyDescent="0.25">
      <c r="A22" s="144" t="s">
        <v>191</v>
      </c>
      <c r="B22" s="164">
        <v>883</v>
      </c>
      <c r="C22" s="160">
        <v>1252</v>
      </c>
      <c r="D22" s="153">
        <v>1371</v>
      </c>
      <c r="E22" s="153">
        <v>1371</v>
      </c>
      <c r="F22" s="153">
        <v>1604</v>
      </c>
    </row>
    <row r="23" spans="1:6" ht="15.75" thickBot="1" x14ac:dyDescent="0.3">
      <c r="A23" s="144" t="s">
        <v>35</v>
      </c>
      <c r="B23" s="190">
        <v>4822</v>
      </c>
      <c r="C23" s="190">
        <v>4756</v>
      </c>
      <c r="D23" s="191">
        <v>5428</v>
      </c>
      <c r="E23" s="191">
        <v>5560</v>
      </c>
      <c r="F23" s="191">
        <v>7130</v>
      </c>
    </row>
    <row r="24" spans="1:6" x14ac:dyDescent="0.25">
      <c r="A24" s="144" t="s">
        <v>190</v>
      </c>
      <c r="B24" s="188">
        <v>10.1</v>
      </c>
      <c r="C24" s="188">
        <v>10.130000000000001</v>
      </c>
      <c r="D24" s="189">
        <v>11.87</v>
      </c>
      <c r="E24" s="189">
        <v>12.43</v>
      </c>
      <c r="F24" s="189">
        <v>16.73</v>
      </c>
    </row>
    <row r="25" spans="1:6" x14ac:dyDescent="0.25">
      <c r="A25" s="144" t="s">
        <v>189</v>
      </c>
      <c r="B25" s="163">
        <v>477.3</v>
      </c>
      <c r="C25" s="163">
        <v>469.5</v>
      </c>
      <c r="D25" s="155">
        <v>457.1</v>
      </c>
      <c r="E25" s="155">
        <v>447.1</v>
      </c>
      <c r="F25" s="155">
        <v>426.2</v>
      </c>
    </row>
    <row r="26" spans="1:6" x14ac:dyDescent="0.25">
      <c r="A26" s="144" t="s">
        <v>188</v>
      </c>
      <c r="B26" s="188">
        <v>10.02</v>
      </c>
      <c r="C26" s="188">
        <v>10.1</v>
      </c>
      <c r="D26" s="189">
        <v>11.82</v>
      </c>
      <c r="E26" s="189">
        <v>12.36</v>
      </c>
      <c r="F26" s="189">
        <v>16.7</v>
      </c>
    </row>
    <row r="27" spans="1:6" x14ac:dyDescent="0.25">
      <c r="A27" s="144" t="s">
        <v>187</v>
      </c>
      <c r="B27" s="163">
        <v>481</v>
      </c>
      <c r="C27" s="163">
        <v>470.9</v>
      </c>
      <c r="D27" s="155">
        <v>459.1</v>
      </c>
      <c r="E27" s="155">
        <v>449.7</v>
      </c>
      <c r="F27" s="155">
        <v>427</v>
      </c>
    </row>
    <row r="28" spans="1:6" s="168" customFormat="1" x14ac:dyDescent="0.25">
      <c r="A28" s="168" t="s">
        <v>186</v>
      </c>
      <c r="B28" s="186"/>
      <c r="C28" s="186"/>
      <c r="D28" s="187"/>
      <c r="E28" s="187"/>
      <c r="F28" s="187"/>
    </row>
    <row r="29" spans="1:6" x14ac:dyDescent="0.25">
      <c r="A29" s="144" t="s">
        <v>183</v>
      </c>
      <c r="D29" s="169"/>
      <c r="E29" s="169"/>
      <c r="F29" s="169"/>
    </row>
    <row r="30" spans="1:6" x14ac:dyDescent="0.25">
      <c r="A30" s="144" t="s">
        <v>25</v>
      </c>
      <c r="B30" s="176">
        <v>14573</v>
      </c>
      <c r="C30" s="176">
        <v>16388</v>
      </c>
      <c r="D30" s="174">
        <v>18284</v>
      </c>
      <c r="E30" s="174">
        <v>20521</v>
      </c>
      <c r="F30" s="174">
        <v>22904</v>
      </c>
    </row>
    <row r="31" spans="1:6" x14ac:dyDescent="0.25">
      <c r="A31" s="144" t="s">
        <v>182</v>
      </c>
      <c r="D31" s="169"/>
      <c r="E31" s="169"/>
      <c r="F31" s="169"/>
    </row>
    <row r="32" spans="1:6" x14ac:dyDescent="0.25">
      <c r="A32" s="144" t="s">
        <v>181</v>
      </c>
      <c r="B32" s="160">
        <v>1374</v>
      </c>
      <c r="C32" s="160">
        <v>1646</v>
      </c>
      <c r="D32" s="153">
        <v>1822</v>
      </c>
      <c r="E32" s="153">
        <v>1799</v>
      </c>
      <c r="F32" s="153">
        <v>2027</v>
      </c>
    </row>
    <row r="33" spans="1:6" x14ac:dyDescent="0.25">
      <c r="A33" s="144" t="s">
        <v>185</v>
      </c>
      <c r="B33" s="186"/>
      <c r="C33" s="186"/>
      <c r="D33" s="187"/>
      <c r="E33" s="187"/>
      <c r="F33" s="187"/>
    </row>
    <row r="34" spans="1:6" x14ac:dyDescent="0.25">
      <c r="A34" s="144" t="s">
        <v>183</v>
      </c>
      <c r="D34" s="165"/>
      <c r="E34" s="165"/>
      <c r="F34" s="165"/>
    </row>
    <row r="35" spans="1:6" x14ac:dyDescent="0.25">
      <c r="A35" s="144" t="s">
        <v>25</v>
      </c>
      <c r="B35" s="164">
        <v>555</v>
      </c>
      <c r="C35" s="164">
        <v>532</v>
      </c>
      <c r="D35" s="155">
        <v>460</v>
      </c>
      <c r="E35" s="155">
        <v>386</v>
      </c>
      <c r="F35" s="155">
        <v>325</v>
      </c>
    </row>
    <row r="36" spans="1:6" x14ac:dyDescent="0.25">
      <c r="A36" s="144" t="s">
        <v>182</v>
      </c>
      <c r="D36" s="165"/>
      <c r="E36" s="165"/>
      <c r="F36" s="165"/>
    </row>
    <row r="37" spans="1:6" x14ac:dyDescent="0.25">
      <c r="A37" s="144" t="s">
        <v>181</v>
      </c>
      <c r="B37" s="163">
        <v>41</v>
      </c>
      <c r="C37" s="163">
        <v>35</v>
      </c>
      <c r="D37" s="155">
        <v>29</v>
      </c>
      <c r="E37" s="155">
        <v>25</v>
      </c>
      <c r="F37" s="155">
        <v>23</v>
      </c>
    </row>
    <row r="38" spans="1:6" x14ac:dyDescent="0.25">
      <c r="A38" s="144" t="s">
        <v>184</v>
      </c>
      <c r="B38" s="186"/>
      <c r="C38" s="186"/>
      <c r="D38" s="187"/>
      <c r="E38" s="187"/>
      <c r="F38" s="187"/>
    </row>
    <row r="39" spans="1:6" x14ac:dyDescent="0.25">
      <c r="A39" s="144" t="s">
        <v>183</v>
      </c>
      <c r="D39" s="169"/>
      <c r="E39" s="169"/>
      <c r="F39" s="169"/>
    </row>
    <row r="40" spans="1:6" x14ac:dyDescent="0.25">
      <c r="A40" s="144" t="s">
        <v>25</v>
      </c>
      <c r="B40" s="163">
        <v>657</v>
      </c>
      <c r="C40" s="163">
        <v>686</v>
      </c>
      <c r="D40" s="161">
        <v>665</v>
      </c>
      <c r="E40" s="161">
        <v>598</v>
      </c>
      <c r="F40" s="161">
        <v>540</v>
      </c>
    </row>
    <row r="41" spans="1:6" x14ac:dyDescent="0.25">
      <c r="A41" s="144" t="s">
        <v>182</v>
      </c>
      <c r="D41" s="169"/>
      <c r="E41" s="169"/>
      <c r="F41" s="169"/>
    </row>
    <row r="42" spans="1:6" ht="15.75" thickBot="1" x14ac:dyDescent="0.3">
      <c r="A42" s="144" t="s">
        <v>181</v>
      </c>
      <c r="B42" s="185">
        <v>450</v>
      </c>
      <c r="C42" s="185">
        <v>484</v>
      </c>
      <c r="D42" s="147">
        <v>503</v>
      </c>
      <c r="E42" s="147">
        <v>534</v>
      </c>
      <c r="F42" s="147">
        <v>501</v>
      </c>
    </row>
    <row r="43" spans="1:6" ht="15.75" thickTop="1" x14ac:dyDescent="0.25">
      <c r="A43" s="184"/>
      <c r="D43" s="184"/>
      <c r="E43" s="184"/>
      <c r="F43" s="184"/>
    </row>
    <row r="44" spans="1:6" x14ac:dyDescent="0.25">
      <c r="A44" s="183"/>
      <c r="D44" s="183"/>
      <c r="E44" s="183"/>
      <c r="F44" s="183"/>
    </row>
  </sheetData>
  <mergeCells count="1">
    <mergeCell ref="B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E817-CE68-4E42-B6B6-38EB2DC465EF}">
  <dimension ref="A1:F42"/>
  <sheetViews>
    <sheetView showGridLines="0" zoomScale="120" zoomScaleNormal="120" workbookViewId="0">
      <selection activeCell="B6" sqref="B6"/>
    </sheetView>
  </sheetViews>
  <sheetFormatPr defaultRowHeight="15" x14ac:dyDescent="0.25"/>
  <cols>
    <col min="1" max="1" width="97.25" style="144" bestFit="1" customWidth="1"/>
    <col min="2" max="2" width="11.25" style="144" customWidth="1"/>
    <col min="3" max="3" width="11.125" style="144" customWidth="1"/>
    <col min="4" max="6" width="9.375" style="144" bestFit="1" customWidth="1"/>
    <col min="7" max="16384" width="9" style="144"/>
  </cols>
  <sheetData>
    <row r="1" spans="1:6" ht="16.5" thickTop="1" thickBot="1" x14ac:dyDescent="0.3">
      <c r="A1" s="182" t="s">
        <v>180</v>
      </c>
      <c r="B1" s="180" t="s">
        <v>179</v>
      </c>
      <c r="C1" s="179" t="s">
        <v>178</v>
      </c>
      <c r="D1" s="179" t="s">
        <v>177</v>
      </c>
      <c r="E1" s="178" t="s">
        <v>176</v>
      </c>
      <c r="F1" s="177" t="s">
        <v>175</v>
      </c>
    </row>
    <row r="2" spans="1:6" ht="15.75" thickTop="1" x14ac:dyDescent="0.25">
      <c r="A2" s="181" t="s">
        <v>174</v>
      </c>
      <c r="B2" s="180"/>
      <c r="C2" s="179"/>
      <c r="D2" s="179"/>
      <c r="E2" s="178"/>
      <c r="F2" s="177"/>
    </row>
    <row r="3" spans="1:6" x14ac:dyDescent="0.25">
      <c r="A3" s="168" t="s">
        <v>173</v>
      </c>
      <c r="B3" s="171"/>
      <c r="C3" s="169"/>
      <c r="D3" s="169"/>
      <c r="E3" s="170"/>
      <c r="F3" s="169"/>
    </row>
    <row r="4" spans="1:6" x14ac:dyDescent="0.25">
      <c r="A4" s="144" t="s">
        <v>172</v>
      </c>
      <c r="B4" s="176">
        <v>3844</v>
      </c>
      <c r="C4" s="174">
        <v>4236</v>
      </c>
      <c r="D4" s="174">
        <v>7141</v>
      </c>
      <c r="E4" s="175">
        <v>7613</v>
      </c>
      <c r="F4" s="174">
        <v>5431</v>
      </c>
    </row>
    <row r="5" spans="1:6" x14ac:dyDescent="0.25">
      <c r="A5" s="144" t="s">
        <v>171</v>
      </c>
      <c r="B5" s="160">
        <v>1954</v>
      </c>
      <c r="C5" s="158">
        <v>1860</v>
      </c>
      <c r="D5" s="155">
        <v>701</v>
      </c>
      <c r="E5" s="156">
        <v>273</v>
      </c>
      <c r="F5" s="158">
        <v>1164</v>
      </c>
    </row>
    <row r="6" spans="1:6" x14ac:dyDescent="0.25">
      <c r="A6" s="144" t="s">
        <v>170</v>
      </c>
      <c r="B6" s="157">
        <v>1878</v>
      </c>
      <c r="C6" s="153">
        <v>2065</v>
      </c>
      <c r="D6" s="153">
        <v>2224</v>
      </c>
      <c r="E6" s="154">
        <v>2072</v>
      </c>
      <c r="F6" s="153">
        <v>2344</v>
      </c>
    </row>
    <row r="7" spans="1:6" x14ac:dyDescent="0.25">
      <c r="A7" s="144" t="s">
        <v>169</v>
      </c>
      <c r="B7" s="164">
        <v>993</v>
      </c>
      <c r="C7" s="155">
        <v>835</v>
      </c>
      <c r="D7" s="158">
        <v>1018</v>
      </c>
      <c r="E7" s="159">
        <v>1274</v>
      </c>
      <c r="F7" s="158">
        <v>1224</v>
      </c>
    </row>
    <row r="8" spans="1:6" ht="15.75" thickBot="1" x14ac:dyDescent="0.3">
      <c r="A8" s="168" t="s">
        <v>168</v>
      </c>
      <c r="B8" s="173">
        <v>8669</v>
      </c>
      <c r="C8" s="172">
        <f>SUM(C4:C7)</f>
        <v>8996</v>
      </c>
      <c r="D8" s="172">
        <f>SUM(D4:D7)</f>
        <v>11084</v>
      </c>
      <c r="E8" s="172">
        <f>SUM(E4:E7)</f>
        <v>11232</v>
      </c>
      <c r="F8" s="172">
        <f>SUM(F4:F7)</f>
        <v>10163</v>
      </c>
    </row>
    <row r="9" spans="1:6" x14ac:dyDescent="0.25">
      <c r="A9" s="144" t="s">
        <v>167</v>
      </c>
      <c r="B9" s="160">
        <v>1673</v>
      </c>
      <c r="C9" s="158">
        <v>1908</v>
      </c>
      <c r="D9" s="158">
        <v>2030</v>
      </c>
      <c r="E9" s="159">
        <v>1936</v>
      </c>
      <c r="F9" s="158">
        <v>1873</v>
      </c>
    </row>
    <row r="10" spans="1:6" x14ac:dyDescent="0.25">
      <c r="A10" s="144" t="s">
        <v>166</v>
      </c>
      <c r="B10" s="163">
        <v>443</v>
      </c>
      <c r="C10" s="161">
        <v>407</v>
      </c>
      <c r="D10" s="161">
        <v>358</v>
      </c>
      <c r="E10" s="162">
        <v>281</v>
      </c>
      <c r="F10" s="161">
        <v>312</v>
      </c>
    </row>
    <row r="11" spans="1:6" x14ac:dyDescent="0.25">
      <c r="A11" s="144" t="s">
        <v>60</v>
      </c>
      <c r="B11" s="160">
        <v>12668</v>
      </c>
      <c r="C11" s="158">
        <v>12787</v>
      </c>
      <c r="D11" s="158">
        <v>12805</v>
      </c>
      <c r="E11" s="159">
        <v>12788</v>
      </c>
      <c r="F11" s="158">
        <v>12857</v>
      </c>
    </row>
    <row r="12" spans="1:6" x14ac:dyDescent="0.25">
      <c r="A12" s="144" t="s">
        <v>165</v>
      </c>
      <c r="B12" s="157">
        <v>1820</v>
      </c>
      <c r="C12" s="153">
        <v>1449</v>
      </c>
      <c r="D12" s="153">
        <v>1088</v>
      </c>
      <c r="E12" s="162">
        <v>782</v>
      </c>
      <c r="F12" s="161">
        <v>495</v>
      </c>
    </row>
    <row r="13" spans="1:6" x14ac:dyDescent="0.25">
      <c r="A13" s="144" t="s">
        <v>164</v>
      </c>
      <c r="B13" s="160">
        <v>1090</v>
      </c>
      <c r="C13" s="155">
        <v>777</v>
      </c>
      <c r="D13" s="158">
        <v>1191</v>
      </c>
      <c r="E13" s="159">
        <v>1657</v>
      </c>
      <c r="F13" s="158">
        <v>2186</v>
      </c>
    </row>
    <row r="14" spans="1:6" x14ac:dyDescent="0.25">
      <c r="A14" s="144" t="s">
        <v>163</v>
      </c>
      <c r="B14" s="163">
        <v>883</v>
      </c>
      <c r="C14" s="161">
        <v>841</v>
      </c>
      <c r="D14" s="153">
        <v>1223</v>
      </c>
      <c r="E14" s="154">
        <v>1554</v>
      </c>
      <c r="F14" s="153">
        <v>1610</v>
      </c>
    </row>
    <row r="15" spans="1:6" ht="15.75" thickBot="1" x14ac:dyDescent="0.3">
      <c r="A15" s="168" t="s">
        <v>162</v>
      </c>
      <c r="B15" s="152">
        <v>27241</v>
      </c>
      <c r="C15" s="150">
        <f>SUM(C8:C14)</f>
        <v>27165</v>
      </c>
      <c r="D15" s="150">
        <f>SUM(D8:D14)</f>
        <v>29779</v>
      </c>
      <c r="E15" s="150">
        <f>SUM(E8:E14)</f>
        <v>30230</v>
      </c>
      <c r="F15" s="150">
        <f>SUM(F8:F14)</f>
        <v>29496</v>
      </c>
    </row>
    <row r="16" spans="1:6" x14ac:dyDescent="0.25">
      <c r="A16" s="168" t="s">
        <v>161</v>
      </c>
      <c r="B16" s="167"/>
      <c r="C16" s="165"/>
      <c r="D16" s="165"/>
      <c r="E16" s="166"/>
      <c r="F16" s="165"/>
    </row>
    <row r="17" spans="1:6" x14ac:dyDescent="0.25">
      <c r="A17" s="144" t="s">
        <v>160</v>
      </c>
      <c r="B17" s="164">
        <v>312</v>
      </c>
      <c r="C17" s="155">
        <v>379</v>
      </c>
      <c r="D17" s="155">
        <v>314</v>
      </c>
      <c r="E17" s="156">
        <v>361</v>
      </c>
      <c r="F17" s="155">
        <v>417</v>
      </c>
    </row>
    <row r="18" spans="1:6" x14ac:dyDescent="0.25">
      <c r="A18" s="144" t="s">
        <v>159</v>
      </c>
      <c r="B18" s="157">
        <v>1736</v>
      </c>
      <c r="C18" s="153">
        <v>1790</v>
      </c>
      <c r="D18" s="153">
        <v>1942</v>
      </c>
      <c r="E18" s="154">
        <v>2336</v>
      </c>
      <c r="F18" s="153">
        <v>2648</v>
      </c>
    </row>
    <row r="19" spans="1:6" x14ac:dyDescent="0.25">
      <c r="A19" s="144" t="s">
        <v>128</v>
      </c>
      <c r="B19" s="155">
        <v>0</v>
      </c>
      <c r="C19" s="155">
        <v>500</v>
      </c>
      <c r="D19" s="155">
        <v>0</v>
      </c>
      <c r="E19" s="159">
        <v>1499</v>
      </c>
      <c r="F19" s="155">
        <v>0</v>
      </c>
    </row>
    <row r="20" spans="1:6" x14ac:dyDescent="0.25">
      <c r="A20" s="144" t="s">
        <v>156</v>
      </c>
      <c r="B20" s="160">
        <v>4733</v>
      </c>
      <c r="C20" s="153">
        <v>5297</v>
      </c>
      <c r="D20" s="153">
        <v>5837</v>
      </c>
      <c r="E20" s="154">
        <v>6131</v>
      </c>
      <c r="F20" s="153">
        <v>6905</v>
      </c>
    </row>
    <row r="21" spans="1:6" x14ac:dyDescent="0.25">
      <c r="A21" s="144" t="s">
        <v>155</v>
      </c>
      <c r="B21" s="163">
        <v>54</v>
      </c>
      <c r="C21" s="155">
        <v>75</v>
      </c>
      <c r="D21" s="155">
        <v>85</v>
      </c>
      <c r="E21" s="156">
        <v>119</v>
      </c>
      <c r="F21" s="155">
        <v>153</v>
      </c>
    </row>
    <row r="22" spans="1:6" x14ac:dyDescent="0.25">
      <c r="A22" s="144" t="s">
        <v>154</v>
      </c>
      <c r="B22" s="164">
        <v>97</v>
      </c>
      <c r="C22" s="161">
        <v>87</v>
      </c>
      <c r="D22" s="161">
        <v>73</v>
      </c>
      <c r="E22" s="162">
        <v>75</v>
      </c>
      <c r="F22" s="161">
        <v>77</v>
      </c>
    </row>
    <row r="23" spans="1:6" ht="15.75" thickBot="1" x14ac:dyDescent="0.3">
      <c r="A23" s="168" t="s">
        <v>158</v>
      </c>
      <c r="B23" s="173">
        <v>6932</v>
      </c>
      <c r="C23" s="150">
        <f>SUM(C17:C22)</f>
        <v>8128</v>
      </c>
      <c r="D23" s="150">
        <f>SUM(D17:D22)</f>
        <v>8251</v>
      </c>
      <c r="E23" s="150">
        <f>SUM(E17:E22)</f>
        <v>10521</v>
      </c>
      <c r="F23" s="150">
        <f>SUM(F17:F22)</f>
        <v>10200</v>
      </c>
    </row>
    <row r="24" spans="1:6" x14ac:dyDescent="0.25">
      <c r="A24" s="168" t="s">
        <v>157</v>
      </c>
      <c r="C24" s="165"/>
      <c r="D24" s="165"/>
      <c r="E24" s="166"/>
      <c r="F24" s="165"/>
    </row>
    <row r="25" spans="1:6" x14ac:dyDescent="0.25">
      <c r="A25" s="144" t="s">
        <v>128</v>
      </c>
      <c r="B25" s="157">
        <v>4123</v>
      </c>
      <c r="C25" s="158">
        <v>3629</v>
      </c>
      <c r="D25" s="158">
        <v>3634</v>
      </c>
      <c r="E25" s="159">
        <v>4129</v>
      </c>
      <c r="F25" s="158">
        <v>6210</v>
      </c>
    </row>
    <row r="26" spans="1:6" x14ac:dyDescent="0.25">
      <c r="A26" s="144" t="s">
        <v>156</v>
      </c>
      <c r="B26" s="164">
        <v>145</v>
      </c>
      <c r="C26" s="161">
        <v>117</v>
      </c>
      <c r="D26" s="161">
        <v>113</v>
      </c>
      <c r="E26" s="162">
        <v>128</v>
      </c>
      <c r="F26" s="161">
        <v>125</v>
      </c>
    </row>
    <row r="27" spans="1:6" x14ac:dyDescent="0.25">
      <c r="A27" s="144" t="s">
        <v>155</v>
      </c>
      <c r="B27" s="163">
        <v>534</v>
      </c>
      <c r="C27" s="155">
        <v>530</v>
      </c>
      <c r="D27" s="155">
        <v>514</v>
      </c>
      <c r="E27" s="156">
        <v>548</v>
      </c>
      <c r="F27" s="155">
        <v>469</v>
      </c>
    </row>
    <row r="28" spans="1:6" x14ac:dyDescent="0.25">
      <c r="A28" s="144" t="s">
        <v>154</v>
      </c>
      <c r="B28" s="163">
        <v>453</v>
      </c>
      <c r="C28" s="161">
        <v>417</v>
      </c>
      <c r="D28" s="161">
        <v>373</v>
      </c>
      <c r="E28" s="162">
        <v>353</v>
      </c>
      <c r="F28" s="161">
        <v>361</v>
      </c>
    </row>
    <row r="29" spans="1:6" x14ac:dyDescent="0.25">
      <c r="A29" s="144" t="s">
        <v>153</v>
      </c>
      <c r="B29" s="164">
        <v>252</v>
      </c>
      <c r="C29" s="155">
        <v>293</v>
      </c>
      <c r="D29" s="155">
        <v>376</v>
      </c>
      <c r="E29" s="156">
        <v>446</v>
      </c>
      <c r="F29" s="155">
        <v>508</v>
      </c>
    </row>
    <row r="30" spans="1:6" ht="15.75" thickBot="1" x14ac:dyDescent="0.3">
      <c r="A30" s="168" t="s">
        <v>152</v>
      </c>
      <c r="B30" s="173">
        <v>12444</v>
      </c>
      <c r="C30" s="172">
        <f>SUM(C23:C29)</f>
        <v>13114</v>
      </c>
      <c r="D30" s="172">
        <f>SUM(D23:D29)</f>
        <v>13261</v>
      </c>
      <c r="E30" s="172">
        <f>SUM(E23:E29)</f>
        <v>16125</v>
      </c>
      <c r="F30" s="172">
        <f>SUM(F23:F29)</f>
        <v>17873</v>
      </c>
    </row>
    <row r="31" spans="1:6" x14ac:dyDescent="0.25">
      <c r="A31" s="144" t="s">
        <v>151</v>
      </c>
      <c r="B31" s="171"/>
      <c r="C31" s="169"/>
      <c r="D31" s="169"/>
      <c r="E31" s="170"/>
      <c r="F31" s="169"/>
    </row>
    <row r="32" spans="1:6" x14ac:dyDescent="0.25">
      <c r="A32" s="168" t="s">
        <v>150</v>
      </c>
      <c r="B32" s="167"/>
      <c r="C32" s="165"/>
      <c r="D32" s="165"/>
      <c r="E32" s="166"/>
      <c r="F32" s="165"/>
    </row>
    <row r="33" spans="1:6" x14ac:dyDescent="0.25">
      <c r="A33" s="144" t="s">
        <v>149</v>
      </c>
      <c r="B33" s="164">
        <v>0</v>
      </c>
      <c r="C33" s="155">
        <v>0</v>
      </c>
      <c r="D33" s="155">
        <v>0</v>
      </c>
      <c r="E33" s="156">
        <v>0</v>
      </c>
      <c r="F33" s="155">
        <v>0</v>
      </c>
    </row>
    <row r="34" spans="1:6" x14ac:dyDescent="0.25">
      <c r="A34" s="144" t="s">
        <v>148</v>
      </c>
      <c r="B34" s="163">
        <v>0</v>
      </c>
      <c r="C34" s="161">
        <v>0</v>
      </c>
      <c r="D34" s="161">
        <v>0</v>
      </c>
      <c r="E34" s="162">
        <v>0</v>
      </c>
      <c r="F34" s="161">
        <v>0</v>
      </c>
    </row>
    <row r="35" spans="1:6" x14ac:dyDescent="0.25">
      <c r="A35" s="144" t="s">
        <v>147</v>
      </c>
      <c r="B35" s="160">
        <v>8428</v>
      </c>
      <c r="C35" s="158">
        <v>9868</v>
      </c>
      <c r="D35" s="158">
        <v>11586</v>
      </c>
      <c r="E35" s="159">
        <v>13419</v>
      </c>
      <c r="F35" s="158">
        <v>15361</v>
      </c>
    </row>
    <row r="36" spans="1:6" x14ac:dyDescent="0.25">
      <c r="A36" s="144" t="s">
        <v>146</v>
      </c>
      <c r="B36" s="157">
        <v>23905</v>
      </c>
      <c r="C36" s="153">
        <v>28319</v>
      </c>
      <c r="D36" s="153">
        <v>33346</v>
      </c>
      <c r="E36" s="154">
        <v>38470</v>
      </c>
      <c r="F36" s="153">
        <v>45354</v>
      </c>
    </row>
    <row r="37" spans="1:6" x14ac:dyDescent="0.25">
      <c r="A37" s="144" t="s">
        <v>145</v>
      </c>
      <c r="B37" s="155">
        <v>-137</v>
      </c>
      <c r="C37" s="155">
        <v>-293</v>
      </c>
      <c r="D37" s="155">
        <v>-285</v>
      </c>
      <c r="E37" s="156">
        <v>-201</v>
      </c>
      <c r="F37" s="155">
        <v>-245</v>
      </c>
    </row>
    <row r="38" spans="1:6" x14ac:dyDescent="0.25">
      <c r="A38" s="144" t="s">
        <v>144</v>
      </c>
      <c r="B38" s="153">
        <v>-17399</v>
      </c>
      <c r="C38" s="153">
        <v>-23843</v>
      </c>
      <c r="D38" s="153">
        <v>-28129</v>
      </c>
      <c r="E38" s="154">
        <v>-37583</v>
      </c>
      <c r="F38" s="153">
        <v>-48847</v>
      </c>
    </row>
    <row r="39" spans="1:6" ht="15.75" thickBot="1" x14ac:dyDescent="0.3">
      <c r="A39" s="144" t="s">
        <v>143</v>
      </c>
      <c r="B39" s="152">
        <v>14797</v>
      </c>
      <c r="C39" s="150">
        <v>14051</v>
      </c>
      <c r="D39" s="150">
        <v>16518</v>
      </c>
      <c r="E39" s="151">
        <v>14105</v>
      </c>
      <c r="F39" s="150">
        <v>11623</v>
      </c>
    </row>
    <row r="40" spans="1:6" ht="15.75" thickBot="1" x14ac:dyDescent="0.3">
      <c r="A40" s="144" t="s">
        <v>142</v>
      </c>
      <c r="B40" s="149">
        <v>27241</v>
      </c>
      <c r="C40" s="147">
        <v>27165</v>
      </c>
      <c r="D40" s="147">
        <v>29779</v>
      </c>
      <c r="E40" s="148">
        <v>30230</v>
      </c>
      <c r="F40" s="147">
        <v>29496</v>
      </c>
    </row>
    <row r="41" spans="1:6" ht="15.75" thickTop="1" x14ac:dyDescent="0.25">
      <c r="D41" s="146"/>
      <c r="E41" s="328"/>
      <c r="F41" s="328"/>
    </row>
    <row r="42" spans="1:6" x14ac:dyDescent="0.25">
      <c r="D42" s="145"/>
      <c r="E42" s="329"/>
      <c r="F42" s="329"/>
    </row>
  </sheetData>
  <mergeCells count="2">
    <mergeCell ref="E41:F41"/>
    <mergeCell ref="E42:F4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C171-1A56-4223-B728-C48D26FB1338}">
  <dimension ref="A1:F45"/>
  <sheetViews>
    <sheetView showGridLines="0" zoomScale="120" zoomScaleNormal="120" zoomScalePageLayoutView="84" workbookViewId="0">
      <selection activeCell="A25" sqref="A25"/>
    </sheetView>
  </sheetViews>
  <sheetFormatPr defaultRowHeight="15" x14ac:dyDescent="0.25"/>
  <cols>
    <col min="1" max="1" width="72.375" style="144" bestFit="1" customWidth="1"/>
    <col min="2" max="2" width="9.375" style="144" bestFit="1" customWidth="1"/>
    <col min="3" max="4" width="9" style="144"/>
    <col min="5" max="5" width="9.375" style="144" bestFit="1" customWidth="1"/>
    <col min="6" max="6" width="12.75" style="144" bestFit="1" customWidth="1"/>
    <col min="7" max="16384" width="9" style="144"/>
  </cols>
  <sheetData>
    <row r="1" spans="1:6" ht="15" customHeight="1" x14ac:dyDescent="0.25">
      <c r="A1" s="196" t="s">
        <v>247</v>
      </c>
      <c r="B1" s="210"/>
      <c r="C1" s="210"/>
      <c r="D1" s="210"/>
      <c r="E1" s="210"/>
      <c r="F1" s="210" t="s">
        <v>208</v>
      </c>
    </row>
    <row r="2" spans="1:6" ht="22.5" x14ac:dyDescent="0.25">
      <c r="A2" s="196" t="s">
        <v>174</v>
      </c>
      <c r="B2" s="195" t="s">
        <v>179</v>
      </c>
      <c r="C2" s="195" t="s">
        <v>178</v>
      </c>
      <c r="D2" s="195" t="s">
        <v>177</v>
      </c>
      <c r="E2" s="196" t="s">
        <v>176</v>
      </c>
      <c r="F2" s="196" t="s">
        <v>175</v>
      </c>
    </row>
    <row r="3" spans="1:6" x14ac:dyDescent="0.25">
      <c r="A3" s="168" t="s">
        <v>246</v>
      </c>
      <c r="B3" s="208"/>
      <c r="C3" s="208"/>
      <c r="D3" s="208"/>
      <c r="E3" s="198"/>
      <c r="F3" s="198"/>
    </row>
    <row r="4" spans="1:6" x14ac:dyDescent="0.25">
      <c r="A4" s="168" t="s">
        <v>35</v>
      </c>
      <c r="B4" s="209">
        <v>4822</v>
      </c>
      <c r="C4" s="209">
        <v>4756</v>
      </c>
      <c r="D4" s="209">
        <v>5428</v>
      </c>
      <c r="E4" s="209">
        <v>5560</v>
      </c>
      <c r="F4" s="209">
        <v>7130</v>
      </c>
    </row>
    <row r="5" spans="1:6" x14ac:dyDescent="0.25">
      <c r="A5" s="144" t="s">
        <v>245</v>
      </c>
      <c r="B5" s="208"/>
      <c r="C5" s="208"/>
      <c r="D5" s="208"/>
      <c r="E5" s="198"/>
      <c r="F5" s="198"/>
    </row>
    <row r="6" spans="1:6" x14ac:dyDescent="0.25">
      <c r="A6" s="144" t="s">
        <v>244</v>
      </c>
      <c r="B6" s="201">
        <v>788</v>
      </c>
      <c r="C6" s="201">
        <v>856</v>
      </c>
      <c r="D6" s="201">
        <v>872</v>
      </c>
      <c r="E6" s="201">
        <v>857</v>
      </c>
      <c r="F6" s="201">
        <v>818</v>
      </c>
    </row>
    <row r="7" spans="1:6" x14ac:dyDescent="0.25">
      <c r="A7" s="144" t="s">
        <v>243</v>
      </c>
      <c r="B7" s="199">
        <v>1069</v>
      </c>
      <c r="C7" s="199">
        <v>1440</v>
      </c>
      <c r="D7" s="199">
        <v>1718</v>
      </c>
      <c r="E7" s="199">
        <v>1833</v>
      </c>
      <c r="F7" s="199">
        <v>1942</v>
      </c>
    </row>
    <row r="8" spans="1:6" x14ac:dyDescent="0.25">
      <c r="A8" s="144" t="s">
        <v>242</v>
      </c>
      <c r="B8" s="201">
        <v>73</v>
      </c>
      <c r="C8" s="201">
        <v>83</v>
      </c>
      <c r="D8" s="201">
        <v>72</v>
      </c>
      <c r="E8" s="201">
        <v>78</v>
      </c>
      <c r="F8" s="201">
        <v>0</v>
      </c>
    </row>
    <row r="9" spans="1:6" x14ac:dyDescent="0.25">
      <c r="A9" s="144" t="s">
        <v>164</v>
      </c>
      <c r="B9" s="198">
        <v>183</v>
      </c>
      <c r="C9" s="198">
        <v>328</v>
      </c>
      <c r="D9" s="198">
        <v>-426</v>
      </c>
      <c r="E9" s="198">
        <v>-468</v>
      </c>
      <c r="F9" s="198">
        <v>-512</v>
      </c>
    </row>
    <row r="10" spans="1:6" x14ac:dyDescent="0.25">
      <c r="A10" s="144" t="s">
        <v>241</v>
      </c>
      <c r="B10" s="198" t="s">
        <v>240</v>
      </c>
      <c r="C10" s="198">
        <v>29</v>
      </c>
      <c r="D10" s="198">
        <v>-10</v>
      </c>
      <c r="E10" s="198"/>
      <c r="F10" s="198"/>
    </row>
    <row r="11" spans="1:6" x14ac:dyDescent="0.25">
      <c r="A11" s="144" t="s">
        <v>239</v>
      </c>
      <c r="B11" s="198">
        <v>7</v>
      </c>
      <c r="C11" s="198">
        <v>10</v>
      </c>
      <c r="D11" s="198">
        <v>3</v>
      </c>
      <c r="E11" s="201">
        <v>52</v>
      </c>
      <c r="F11" s="201">
        <v>48</v>
      </c>
    </row>
    <row r="12" spans="1:6" x14ac:dyDescent="0.25">
      <c r="A12" s="144" t="s">
        <v>238</v>
      </c>
      <c r="E12" s="198"/>
      <c r="F12" s="198"/>
    </row>
    <row r="13" spans="1:6" x14ac:dyDescent="0.25">
      <c r="A13" s="144" t="s">
        <v>237</v>
      </c>
      <c r="B13" s="198">
        <v>-430</v>
      </c>
      <c r="C13" s="198">
        <v>-198</v>
      </c>
      <c r="D13" s="198">
        <v>-159</v>
      </c>
      <c r="E13" s="201">
        <v>143</v>
      </c>
      <c r="F13" s="201">
        <v>-275</v>
      </c>
    </row>
    <row r="14" spans="1:6" x14ac:dyDescent="0.25">
      <c r="A14" s="144" t="s">
        <v>236</v>
      </c>
      <c r="B14" s="201">
        <v>-475</v>
      </c>
      <c r="C14" s="201">
        <v>-94</v>
      </c>
      <c r="D14" s="201">
        <v>-818</v>
      </c>
      <c r="E14" s="198">
        <v>-616</v>
      </c>
      <c r="F14" s="198">
        <v>-90</v>
      </c>
    </row>
    <row r="15" spans="1:6" x14ac:dyDescent="0.25">
      <c r="A15" s="144" t="s">
        <v>160</v>
      </c>
      <c r="B15" s="198">
        <v>-20</v>
      </c>
      <c r="C15" s="198">
        <v>66</v>
      </c>
      <c r="D15" s="198">
        <v>-49</v>
      </c>
      <c r="E15" s="201">
        <v>44</v>
      </c>
      <c r="F15" s="201">
        <v>64</v>
      </c>
    </row>
    <row r="16" spans="1:6" x14ac:dyDescent="0.25">
      <c r="A16" s="144" t="s">
        <v>235</v>
      </c>
      <c r="B16" s="201">
        <v>162</v>
      </c>
      <c r="C16" s="201">
        <v>7</v>
      </c>
      <c r="D16" s="201">
        <v>146</v>
      </c>
      <c r="E16" s="198">
        <v>196</v>
      </c>
      <c r="F16" s="198">
        <v>180</v>
      </c>
    </row>
    <row r="17" spans="1:6" x14ac:dyDescent="0.25">
      <c r="A17" s="144" t="s">
        <v>155</v>
      </c>
      <c r="B17" s="198">
        <v>2</v>
      </c>
      <c r="C17" s="198">
        <v>19</v>
      </c>
      <c r="D17" s="198">
        <v>-11</v>
      </c>
      <c r="E17" s="201">
        <v>68</v>
      </c>
      <c r="F17" s="201">
        <v>-45</v>
      </c>
    </row>
    <row r="18" spans="1:6" x14ac:dyDescent="0.25">
      <c r="A18" s="144" t="s">
        <v>156</v>
      </c>
      <c r="B18" s="202">
        <v>1053</v>
      </c>
      <c r="C18" s="201">
        <v>536</v>
      </c>
      <c r="D18" s="201">
        <v>536</v>
      </c>
      <c r="E18" s="198">
        <v>309</v>
      </c>
      <c r="F18" s="198">
        <v>771</v>
      </c>
    </row>
    <row r="19" spans="1:6" ht="15.75" thickBot="1" x14ac:dyDescent="0.3">
      <c r="A19" s="168" t="s">
        <v>234</v>
      </c>
      <c r="B19" s="204">
        <v>7230</v>
      </c>
      <c r="C19" s="204">
        <v>7838</v>
      </c>
      <c r="D19" s="204">
        <v>7302</v>
      </c>
      <c r="E19" s="206">
        <v>8056</v>
      </c>
      <c r="F19" s="206">
        <v>10031</v>
      </c>
    </row>
    <row r="20" spans="1:6" x14ac:dyDescent="0.25">
      <c r="A20" s="168" t="s">
        <v>233</v>
      </c>
      <c r="B20" s="205"/>
      <c r="C20" s="205"/>
      <c r="D20" s="205"/>
      <c r="E20" s="198"/>
      <c r="F20" s="198"/>
    </row>
    <row r="21" spans="1:6" x14ac:dyDescent="0.25">
      <c r="A21" s="144" t="s">
        <v>232</v>
      </c>
      <c r="B21" s="199">
        <v>-1533</v>
      </c>
      <c r="C21" s="198">
        <v>-909</v>
      </c>
      <c r="D21" s="198">
        <v>0</v>
      </c>
      <c r="E21" s="201">
        <v>-59</v>
      </c>
      <c r="F21" s="202">
        <v>-2034</v>
      </c>
    </row>
    <row r="22" spans="1:6" x14ac:dyDescent="0.25">
      <c r="A22" s="144" t="s">
        <v>231</v>
      </c>
      <c r="B22" s="201">
        <v>877</v>
      </c>
      <c r="C22" s="201">
        <v>683</v>
      </c>
      <c r="D22" s="201">
        <v>965</v>
      </c>
      <c r="E22" s="198">
        <v>486</v>
      </c>
      <c r="F22" s="199">
        <v>1168</v>
      </c>
    </row>
    <row r="23" spans="1:6" x14ac:dyDescent="0.25">
      <c r="A23" s="144" t="s">
        <v>230</v>
      </c>
      <c r="B23" s="198">
        <v>191</v>
      </c>
      <c r="C23" s="198">
        <v>270</v>
      </c>
      <c r="D23" s="198">
        <v>223</v>
      </c>
      <c r="E23" s="201">
        <v>11</v>
      </c>
      <c r="F23" s="201">
        <v>6</v>
      </c>
    </row>
    <row r="24" spans="1:6" x14ac:dyDescent="0.25">
      <c r="A24" s="144" t="s">
        <v>229</v>
      </c>
      <c r="B24" s="202">
        <v>-2682</v>
      </c>
      <c r="C24" s="201">
        <v>-126</v>
      </c>
      <c r="D24" s="201">
        <v>0</v>
      </c>
      <c r="E24" s="198">
        <v>0</v>
      </c>
      <c r="F24" s="198">
        <v>-17</v>
      </c>
    </row>
    <row r="25" spans="1:6" x14ac:dyDescent="0.25">
      <c r="A25" s="144" t="s">
        <v>228</v>
      </c>
      <c r="B25" s="198">
        <v>-348</v>
      </c>
      <c r="C25" s="198">
        <v>-442</v>
      </c>
      <c r="D25" s="198">
        <v>-360</v>
      </c>
      <c r="E25" s="201">
        <v>-183</v>
      </c>
      <c r="F25" s="201">
        <v>-179</v>
      </c>
    </row>
    <row r="26" spans="1:6" x14ac:dyDescent="0.25">
      <c r="A26" s="144" t="s">
        <v>227</v>
      </c>
      <c r="B26" s="201">
        <v>-42</v>
      </c>
      <c r="C26" s="201">
        <v>-46</v>
      </c>
      <c r="D26" s="201">
        <v>-53</v>
      </c>
      <c r="E26" s="198">
        <v>-108</v>
      </c>
      <c r="F26" s="198">
        <v>-134</v>
      </c>
    </row>
    <row r="27" spans="1:6" x14ac:dyDescent="0.25">
      <c r="A27" s="144" t="s">
        <v>226</v>
      </c>
      <c r="B27" s="198">
        <v>0</v>
      </c>
      <c r="C27" s="198">
        <v>0</v>
      </c>
      <c r="D27" s="198">
        <v>1</v>
      </c>
      <c r="E27" s="201">
        <v>2</v>
      </c>
      <c r="F27" s="201">
        <v>3</v>
      </c>
    </row>
    <row r="28" spans="1:6" ht="15.75" thickBot="1" x14ac:dyDescent="0.3">
      <c r="A28" s="168" t="s">
        <v>225</v>
      </c>
      <c r="B28" s="206">
        <v>-3537</v>
      </c>
      <c r="C28" s="207">
        <v>-570</v>
      </c>
      <c r="D28" s="207">
        <v>776</v>
      </c>
      <c r="E28" s="203">
        <v>149</v>
      </c>
      <c r="F28" s="204">
        <v>-1187</v>
      </c>
    </row>
    <row r="29" spans="1:6" x14ac:dyDescent="0.25">
      <c r="A29" s="168" t="s">
        <v>224</v>
      </c>
      <c r="B29" s="205"/>
      <c r="C29" s="205"/>
      <c r="D29" s="205"/>
      <c r="E29" s="201"/>
      <c r="F29" s="201"/>
    </row>
    <row r="30" spans="1:6" x14ac:dyDescent="0.25">
      <c r="A30" s="144" t="s">
        <v>223</v>
      </c>
      <c r="B30" s="202">
        <v>-3950</v>
      </c>
      <c r="C30" s="202">
        <v>-6550</v>
      </c>
      <c r="D30" s="202">
        <v>-4400</v>
      </c>
      <c r="E30" s="199">
        <v>-9500</v>
      </c>
      <c r="F30" s="199">
        <v>-11281</v>
      </c>
    </row>
    <row r="31" spans="1:6" x14ac:dyDescent="0.25">
      <c r="A31" s="144" t="s">
        <v>222</v>
      </c>
      <c r="B31" s="198">
        <v>291</v>
      </c>
      <c r="C31" s="198">
        <v>278</v>
      </c>
      <c r="D31" s="198">
        <v>314</v>
      </c>
      <c r="E31" s="201">
        <v>361</v>
      </c>
      <c r="F31" s="201">
        <v>348</v>
      </c>
    </row>
    <row r="32" spans="1:6" x14ac:dyDescent="0.25">
      <c r="A32" s="144" t="s">
        <v>221</v>
      </c>
      <c r="B32" s="201">
        <v>-719</v>
      </c>
      <c r="C32" s="201">
        <v>-518</v>
      </c>
      <c r="D32" s="201">
        <v>-589</v>
      </c>
      <c r="E32" s="198">
        <v>-677</v>
      </c>
      <c r="F32" s="198">
        <v>-475</v>
      </c>
    </row>
    <row r="33" spans="1:6" x14ac:dyDescent="0.25">
      <c r="A33" s="144" t="s">
        <v>220</v>
      </c>
      <c r="B33" s="205"/>
      <c r="C33" s="205"/>
      <c r="D33" s="205"/>
      <c r="E33" s="202">
        <v>1997</v>
      </c>
      <c r="F33" s="202">
        <v>1997</v>
      </c>
    </row>
    <row r="34" spans="1:6" x14ac:dyDescent="0.25">
      <c r="A34" s="144" t="s">
        <v>219</v>
      </c>
      <c r="B34" s="198">
        <v>0</v>
      </c>
      <c r="C34" s="198">
        <v>0</v>
      </c>
      <c r="D34" s="198">
        <v>-500</v>
      </c>
      <c r="E34" s="198">
        <v>0</v>
      </c>
      <c r="F34" s="199">
        <v>-1500</v>
      </c>
    </row>
    <row r="35" spans="1:6" x14ac:dyDescent="0.25">
      <c r="A35" s="144" t="s">
        <v>218</v>
      </c>
      <c r="B35" s="201">
        <v>77</v>
      </c>
      <c r="C35" s="201">
        <v>-35</v>
      </c>
      <c r="D35" s="201">
        <v>-7</v>
      </c>
      <c r="E35" s="201">
        <v>95</v>
      </c>
      <c r="F35" s="201">
        <v>-149</v>
      </c>
    </row>
    <row r="36" spans="1:6" ht="15.75" thickBot="1" x14ac:dyDescent="0.3">
      <c r="A36" s="168" t="s">
        <v>217</v>
      </c>
      <c r="B36" s="204">
        <v>-4301</v>
      </c>
      <c r="C36" s="204">
        <v>-6825</v>
      </c>
      <c r="D36" s="204">
        <v>-5182</v>
      </c>
      <c r="E36" s="204">
        <v>-7724</v>
      </c>
      <c r="F36" s="204">
        <v>-11060</v>
      </c>
    </row>
    <row r="37" spans="1:6" x14ac:dyDescent="0.25">
      <c r="A37" s="144" t="s">
        <v>216</v>
      </c>
      <c r="B37" s="201">
        <v>-26</v>
      </c>
      <c r="C37" s="201">
        <v>-51</v>
      </c>
      <c r="D37" s="201">
        <v>9</v>
      </c>
      <c r="E37" s="201">
        <v>-9</v>
      </c>
      <c r="F37" s="201">
        <v>34</v>
      </c>
    </row>
    <row r="38" spans="1:6" ht="15.75" thickBot="1" x14ac:dyDescent="0.3">
      <c r="A38" s="144" t="s">
        <v>215</v>
      </c>
      <c r="B38" s="203">
        <v>-634</v>
      </c>
      <c r="C38" s="203">
        <v>392</v>
      </c>
      <c r="D38" s="204">
        <v>2905</v>
      </c>
      <c r="E38" s="203">
        <v>472</v>
      </c>
      <c r="F38" s="204">
        <v>-2182</v>
      </c>
    </row>
    <row r="39" spans="1:6" x14ac:dyDescent="0.25">
      <c r="A39" s="144" t="s">
        <v>214</v>
      </c>
      <c r="B39" s="202">
        <v>4478</v>
      </c>
      <c r="C39" s="202">
        <v>3844</v>
      </c>
      <c r="D39" s="202">
        <v>4236</v>
      </c>
      <c r="E39" s="202">
        <v>7141</v>
      </c>
      <c r="F39" s="202">
        <v>7613</v>
      </c>
    </row>
    <row r="40" spans="1:6" x14ac:dyDescent="0.25">
      <c r="A40" s="144" t="s">
        <v>213</v>
      </c>
      <c r="B40" s="199">
        <v>3844</v>
      </c>
      <c r="C40" s="199">
        <v>4236</v>
      </c>
      <c r="D40" s="199">
        <v>7141</v>
      </c>
      <c r="E40" s="199">
        <v>7613</v>
      </c>
      <c r="F40" s="199">
        <v>5431</v>
      </c>
    </row>
    <row r="41" spans="1:6" x14ac:dyDescent="0.25">
      <c r="A41" s="144" t="s">
        <v>212</v>
      </c>
      <c r="B41" s="200"/>
      <c r="C41" s="200"/>
      <c r="D41" s="200"/>
      <c r="E41" s="201"/>
      <c r="F41" s="201"/>
    </row>
    <row r="42" spans="1:6" x14ac:dyDescent="0.25">
      <c r="A42" s="144" t="s">
        <v>211</v>
      </c>
      <c r="B42" s="198">
        <v>843</v>
      </c>
      <c r="C42" s="198">
        <v>778</v>
      </c>
      <c r="D42" s="199">
        <v>1854</v>
      </c>
      <c r="E42" s="199">
        <v>1727</v>
      </c>
      <c r="F42" s="199">
        <v>2219</v>
      </c>
    </row>
    <row r="43" spans="1:6" ht="15.75" thickBot="1" x14ac:dyDescent="0.3">
      <c r="A43" s="144" t="s">
        <v>210</v>
      </c>
      <c r="B43" s="197">
        <v>100</v>
      </c>
      <c r="C43" s="197">
        <v>103</v>
      </c>
      <c r="D43" s="197">
        <v>106</v>
      </c>
      <c r="E43" s="197">
        <v>143</v>
      </c>
      <c r="F43" s="197">
        <v>246</v>
      </c>
    </row>
    <row r="44" spans="1:6" ht="15.75" thickTop="1" x14ac:dyDescent="0.25">
      <c r="A44" s="184"/>
      <c r="B44" s="184"/>
      <c r="C44" s="328"/>
      <c r="D44" s="328"/>
      <c r="E44" s="184"/>
      <c r="F44" s="184"/>
    </row>
    <row r="45" spans="1:6" x14ac:dyDescent="0.25">
      <c r="A45" s="183"/>
      <c r="B45" s="183"/>
      <c r="C45" s="329"/>
      <c r="D45" s="329"/>
      <c r="E45" s="183"/>
      <c r="F45" s="183"/>
    </row>
  </sheetData>
  <mergeCells count="2">
    <mergeCell ref="C44:D44"/>
    <mergeCell ref="C45:D4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80FD-BFC1-4179-954F-8DB73C72A09A}">
  <sheetPr>
    <tabColor rgb="FFFF0000"/>
  </sheetPr>
  <dimension ref="A1"/>
  <sheetViews>
    <sheetView workbookViewId="0">
      <selection activeCell="K24" sqref="K24:K25"/>
    </sheetView>
  </sheetViews>
  <sheetFormatPr defaultRowHeight="15.75" x14ac:dyDescent="0.25"/>
  <cols>
    <col min="1" max="16384" width="9" style="275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46AF-2427-5F4F-974A-798F7E66D6C0}">
  <sheetPr>
    <tabColor theme="0" tint="-0.14999847407452621"/>
  </sheetPr>
  <dimension ref="A1:U284"/>
  <sheetViews>
    <sheetView showGridLines="0" topLeftCell="A2" zoomScale="140" zoomScaleNormal="100" zoomScaleSheetLayoutView="206" workbookViewId="0">
      <pane xSplit="3" ySplit="2" topLeftCell="D4" activePane="bottomRight" state="frozen"/>
      <selection activeCell="A2" sqref="A2"/>
      <selection pane="topRight" activeCell="D2" sqref="D2"/>
      <selection pane="bottomLeft" activeCell="A4" sqref="A4"/>
      <selection pane="bottomRight" activeCell="J11" sqref="J11"/>
    </sheetView>
  </sheetViews>
  <sheetFormatPr defaultColWidth="11" defaultRowHeight="15.75" x14ac:dyDescent="0.25"/>
  <cols>
    <col min="1" max="1" width="2.875" style="5" customWidth="1"/>
    <col min="2" max="2" width="2.875" customWidth="1"/>
    <col min="3" max="3" width="17" bestFit="1" customWidth="1"/>
    <col min="4" max="19" width="9.125" customWidth="1"/>
  </cols>
  <sheetData>
    <row r="1" spans="1:21" s="1" customFormat="1" x14ac:dyDescent="0.25">
      <c r="A1" s="4"/>
    </row>
    <row r="2" spans="1:21" s="1" customFormat="1" x14ac:dyDescent="0.25">
      <c r="A2" s="4"/>
    </row>
    <row r="3" spans="1:21" s="1" customFormat="1" ht="26.25" x14ac:dyDescent="0.4">
      <c r="A3" s="4"/>
      <c r="C3" s="3" t="s">
        <v>129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1" x14ac:dyDescent="0.25"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100"/>
    </row>
    <row r="5" spans="1:21" x14ac:dyDescent="0.25">
      <c r="A5" s="5" t="s">
        <v>5</v>
      </c>
      <c r="C5" s="61" t="s">
        <v>111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</row>
    <row r="6" spans="1:21" x14ac:dyDescent="0.25"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100"/>
    </row>
    <row r="7" spans="1:21" x14ac:dyDescent="0.25">
      <c r="C7" s="62"/>
      <c r="D7" s="62"/>
      <c r="E7" s="99"/>
      <c r="F7" s="62"/>
      <c r="G7" s="62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</row>
    <row r="8" spans="1:21" x14ac:dyDescent="0.25">
      <c r="C8" s="120" t="str" cm="1">
        <f t="array" aca="1" ref="C8:D284" ca="1">_xlfn.STOCKHISTORY("ADBE","1/1/2025","2/9/2026")</f>
        <v>Date</v>
      </c>
      <c r="D8" s="56" t="str">
        <f ca="1"/>
        <v>Close</v>
      </c>
      <c r="E8" s="99"/>
      <c r="F8" s="120" t="s">
        <v>125</v>
      </c>
      <c r="G8" s="120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</row>
    <row r="9" spans="1:21" x14ac:dyDescent="0.25">
      <c r="C9" s="121" vm="2">
        <f ca="1"/>
        <v>45659</v>
      </c>
      <c r="D9" s="119" vm="3">
        <f ca="1"/>
        <v>441</v>
      </c>
      <c r="E9" s="119"/>
      <c r="F9" s="60" t="s">
        <v>123</v>
      </c>
      <c r="G9" s="119">
        <f ca="1">AVERAGE(D9:D284)</f>
        <v>370.36849637681161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</row>
    <row r="10" spans="1:21" x14ac:dyDescent="0.25">
      <c r="C10" s="121" vm="4">
        <f ca="1"/>
        <v>45660</v>
      </c>
      <c r="D10" s="119" vm="5">
        <f ca="1"/>
        <v>430.57</v>
      </c>
      <c r="E10" s="118"/>
      <c r="F10" s="60" t="s">
        <v>113</v>
      </c>
      <c r="G10" s="119">
        <f ca="1">MEDIAN(D9:D284)</f>
        <v>360.97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</row>
    <row r="11" spans="1:21" x14ac:dyDescent="0.25">
      <c r="C11" s="121" vm="6">
        <f ca="1"/>
        <v>45663</v>
      </c>
      <c r="D11" s="119" vm="7">
        <f ca="1"/>
        <v>431.18</v>
      </c>
      <c r="E11" s="118"/>
      <c r="F11" s="60" t="s">
        <v>114</v>
      </c>
      <c r="G11" s="119">
        <f ca="1">PERCENTILE(D9:D284,0.25)</f>
        <v>343.35500000000002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</row>
    <row r="12" spans="1:21" x14ac:dyDescent="0.25">
      <c r="C12" s="121" vm="8">
        <f ca="1"/>
        <v>45664</v>
      </c>
      <c r="D12" s="119" vm="9">
        <f ca="1"/>
        <v>422.63</v>
      </c>
      <c r="E12" s="118"/>
      <c r="F12" s="60" t="s">
        <v>115</v>
      </c>
      <c r="G12" s="119">
        <f ca="1">PERCENTILE(D9:D284,0.75)</f>
        <v>400.03500000000003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</row>
    <row r="13" spans="1:21" x14ac:dyDescent="0.25">
      <c r="C13" s="121" vm="10">
        <f ca="1"/>
        <v>45665</v>
      </c>
      <c r="D13" s="59" vm="11">
        <f ca="1"/>
        <v>419.58</v>
      </c>
      <c r="E13" s="59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</row>
    <row r="14" spans="1:21" x14ac:dyDescent="0.25">
      <c r="C14" s="122" vm="12">
        <f ca="1"/>
        <v>45667</v>
      </c>
      <c r="D14" s="119" vm="13">
        <f ca="1"/>
        <v>405.92</v>
      </c>
      <c r="E14" s="119"/>
    </row>
    <row r="15" spans="1:21" x14ac:dyDescent="0.25">
      <c r="C15" s="122" vm="14">
        <f ca="1"/>
        <v>45670</v>
      </c>
      <c r="D15" s="119" vm="15">
        <f ca="1"/>
        <v>408.5</v>
      </c>
      <c r="E15" s="119"/>
    </row>
    <row r="16" spans="1:21" x14ac:dyDescent="0.25">
      <c r="C16" s="122" vm="16">
        <f ca="1"/>
        <v>45671</v>
      </c>
      <c r="D16" s="119" vm="17">
        <f ca="1"/>
        <v>412.71</v>
      </c>
      <c r="E16" s="119"/>
    </row>
    <row r="17" spans="3:5" x14ac:dyDescent="0.25">
      <c r="C17" s="122" vm="18">
        <f ca="1"/>
        <v>45672</v>
      </c>
      <c r="D17" s="119" vm="19">
        <f ca="1"/>
        <v>417.28</v>
      </c>
      <c r="E17" s="119"/>
    </row>
    <row r="18" spans="3:5" x14ac:dyDescent="0.25">
      <c r="C18" s="122" vm="20">
        <f ca="1"/>
        <v>45673</v>
      </c>
      <c r="D18" s="119" vm="21">
        <f ca="1"/>
        <v>426.93</v>
      </c>
      <c r="E18" s="119"/>
    </row>
    <row r="19" spans="3:5" x14ac:dyDescent="0.25">
      <c r="C19" s="122" vm="22">
        <f ca="1"/>
        <v>45674</v>
      </c>
      <c r="D19" s="119" vm="23">
        <f ca="1"/>
        <v>429.99</v>
      </c>
      <c r="E19" s="119"/>
    </row>
    <row r="20" spans="3:5" x14ac:dyDescent="0.25">
      <c r="C20" s="122" vm="24">
        <f ca="1"/>
        <v>45678</v>
      </c>
      <c r="D20" s="119" vm="25">
        <f ca="1"/>
        <v>436.36</v>
      </c>
      <c r="E20" s="119"/>
    </row>
    <row r="21" spans="3:5" x14ac:dyDescent="0.25">
      <c r="C21" s="122" vm="26">
        <f ca="1"/>
        <v>45679</v>
      </c>
      <c r="D21" s="119" vm="27">
        <f ca="1"/>
        <v>437.32</v>
      </c>
      <c r="E21" s="119"/>
    </row>
    <row r="22" spans="3:5" x14ac:dyDescent="0.25">
      <c r="C22" s="122" vm="28">
        <f ca="1"/>
        <v>45680</v>
      </c>
      <c r="D22" s="119" vm="29">
        <f ca="1"/>
        <v>437.28</v>
      </c>
      <c r="E22" s="119"/>
    </row>
    <row r="23" spans="3:5" x14ac:dyDescent="0.25">
      <c r="C23" s="122" vm="30">
        <f ca="1"/>
        <v>45681</v>
      </c>
      <c r="D23" s="119" vm="31">
        <f ca="1"/>
        <v>435.38</v>
      </c>
      <c r="E23" s="119"/>
    </row>
    <row r="24" spans="3:5" x14ac:dyDescent="0.25">
      <c r="C24" s="122" vm="32">
        <f ca="1"/>
        <v>45684</v>
      </c>
      <c r="D24" s="119" vm="33">
        <f ca="1"/>
        <v>438.6</v>
      </c>
      <c r="E24" s="119"/>
    </row>
    <row r="25" spans="3:5" x14ac:dyDescent="0.25">
      <c r="C25" s="122" vm="34">
        <f ca="1"/>
        <v>45685</v>
      </c>
      <c r="D25" s="119" vm="35">
        <f ca="1"/>
        <v>442.84</v>
      </c>
      <c r="E25" s="119"/>
    </row>
    <row r="26" spans="3:5" x14ac:dyDescent="0.25">
      <c r="C26" s="122" vm="36">
        <f ca="1"/>
        <v>45686</v>
      </c>
      <c r="D26" s="119" vm="37">
        <f ca="1"/>
        <v>441.68</v>
      </c>
      <c r="E26" s="119"/>
    </row>
    <row r="27" spans="3:5" x14ac:dyDescent="0.25">
      <c r="C27" s="122" vm="38">
        <f ca="1"/>
        <v>45687</v>
      </c>
      <c r="D27" s="119" vm="39">
        <f ca="1"/>
        <v>446</v>
      </c>
      <c r="E27" s="119"/>
    </row>
    <row r="28" spans="3:5" x14ac:dyDescent="0.25">
      <c r="C28" s="122" vm="40">
        <f ca="1"/>
        <v>45688</v>
      </c>
      <c r="D28" s="119" vm="41">
        <f ca="1"/>
        <v>437.45</v>
      </c>
      <c r="E28" s="119"/>
    </row>
    <row r="29" spans="3:5" x14ac:dyDescent="0.25">
      <c r="C29" s="122" vm="42">
        <f ca="1"/>
        <v>45691</v>
      </c>
      <c r="D29" s="119" vm="33">
        <f ca="1"/>
        <v>438.6</v>
      </c>
      <c r="E29" s="119"/>
    </row>
    <row r="30" spans="3:5" x14ac:dyDescent="0.25">
      <c r="C30" s="122" vm="43">
        <f ca="1"/>
        <v>45692</v>
      </c>
      <c r="D30" s="119" vm="44">
        <f ca="1"/>
        <v>440.23</v>
      </c>
      <c r="E30" s="119"/>
    </row>
    <row r="31" spans="3:5" x14ac:dyDescent="0.25">
      <c r="C31" s="122" vm="45">
        <f ca="1"/>
        <v>45693</v>
      </c>
      <c r="D31" s="119" vm="46">
        <f ca="1"/>
        <v>437.63</v>
      </c>
      <c r="E31" s="119"/>
    </row>
    <row r="32" spans="3:5" x14ac:dyDescent="0.25">
      <c r="C32" s="122" vm="47">
        <f ca="1"/>
        <v>45694</v>
      </c>
      <c r="D32" s="119" vm="48">
        <f ca="1"/>
        <v>435.4</v>
      </c>
      <c r="E32" s="119"/>
    </row>
    <row r="33" spans="3:5" x14ac:dyDescent="0.25">
      <c r="C33" s="122" vm="49">
        <f ca="1"/>
        <v>45695</v>
      </c>
      <c r="D33" s="119" vm="50">
        <f ca="1"/>
        <v>433.07</v>
      </c>
      <c r="E33" s="119"/>
    </row>
    <row r="34" spans="3:5" x14ac:dyDescent="0.25">
      <c r="C34" s="122" vm="51">
        <f ca="1"/>
        <v>45698</v>
      </c>
      <c r="D34" s="119" vm="52">
        <f ca="1"/>
        <v>451.1</v>
      </c>
      <c r="E34" s="119"/>
    </row>
    <row r="35" spans="3:5" x14ac:dyDescent="0.25">
      <c r="C35" s="122" vm="53">
        <f ca="1"/>
        <v>45699</v>
      </c>
      <c r="D35" s="119" vm="54">
        <f ca="1"/>
        <v>458.82</v>
      </c>
      <c r="E35" s="119"/>
    </row>
    <row r="36" spans="3:5" x14ac:dyDescent="0.25">
      <c r="C36" s="122" vm="55">
        <f ca="1"/>
        <v>45700</v>
      </c>
      <c r="D36" s="119" vm="56">
        <f ca="1"/>
        <v>462.76</v>
      </c>
      <c r="E36" s="119"/>
    </row>
    <row r="37" spans="3:5" x14ac:dyDescent="0.25">
      <c r="C37" s="122" vm="57">
        <f ca="1"/>
        <v>45701</v>
      </c>
      <c r="D37" s="119" vm="58">
        <f ca="1"/>
        <v>459.22</v>
      </c>
      <c r="E37" s="119"/>
    </row>
    <row r="38" spans="3:5" x14ac:dyDescent="0.25">
      <c r="C38" s="122" vm="59">
        <f ca="1"/>
        <v>45702</v>
      </c>
      <c r="D38" s="119" vm="60">
        <f ca="1"/>
        <v>460.16</v>
      </c>
      <c r="E38" s="119"/>
    </row>
    <row r="39" spans="3:5" x14ac:dyDescent="0.25">
      <c r="C39" s="122" vm="61">
        <f ca="1"/>
        <v>45706</v>
      </c>
      <c r="D39" s="119" vm="62">
        <f ca="1"/>
        <v>464.11</v>
      </c>
      <c r="E39" s="119"/>
    </row>
    <row r="40" spans="3:5" x14ac:dyDescent="0.25">
      <c r="C40" s="122" vm="63">
        <f ca="1"/>
        <v>45707</v>
      </c>
      <c r="D40" s="119" vm="64">
        <f ca="1"/>
        <v>456.99</v>
      </c>
      <c r="E40" s="119"/>
    </row>
    <row r="41" spans="3:5" x14ac:dyDescent="0.25">
      <c r="C41" s="122" vm="65">
        <f ca="1"/>
        <v>45708</v>
      </c>
      <c r="D41" s="119" vm="66">
        <f ca="1"/>
        <v>454.69</v>
      </c>
      <c r="E41" s="119"/>
    </row>
    <row r="42" spans="3:5" x14ac:dyDescent="0.25">
      <c r="C42" s="122" vm="67">
        <f ca="1"/>
        <v>45709</v>
      </c>
      <c r="D42" s="119" vm="68">
        <f ca="1"/>
        <v>444.32</v>
      </c>
      <c r="E42" s="119"/>
    </row>
    <row r="43" spans="3:5" x14ac:dyDescent="0.25">
      <c r="C43" s="122" vm="69">
        <f ca="1"/>
        <v>45712</v>
      </c>
      <c r="D43" s="119" vm="70">
        <f ca="1"/>
        <v>444.42</v>
      </c>
      <c r="E43" s="119"/>
    </row>
    <row r="44" spans="3:5" x14ac:dyDescent="0.25">
      <c r="C44" s="122" vm="71">
        <f ca="1"/>
        <v>45713</v>
      </c>
      <c r="D44" s="119" vm="72">
        <f ca="1"/>
        <v>443.41</v>
      </c>
      <c r="E44" s="119"/>
    </row>
    <row r="45" spans="3:5" x14ac:dyDescent="0.25">
      <c r="C45" s="122" vm="73">
        <f ca="1"/>
        <v>45714</v>
      </c>
      <c r="D45" s="119" vm="74">
        <f ca="1"/>
        <v>441.5</v>
      </c>
      <c r="E45" s="119"/>
    </row>
    <row r="46" spans="3:5" x14ac:dyDescent="0.25">
      <c r="C46" s="122" vm="75">
        <f ca="1"/>
        <v>45715</v>
      </c>
      <c r="D46" s="119" vm="76">
        <f ca="1"/>
        <v>437.19</v>
      </c>
      <c r="E46" s="119"/>
    </row>
    <row r="47" spans="3:5" x14ac:dyDescent="0.25">
      <c r="C47" s="122" vm="77">
        <f ca="1"/>
        <v>45716</v>
      </c>
      <c r="D47" s="119" vm="78">
        <f ca="1"/>
        <v>438.56</v>
      </c>
      <c r="E47" s="119"/>
    </row>
    <row r="48" spans="3:5" x14ac:dyDescent="0.25">
      <c r="C48" s="122" vm="79">
        <f ca="1"/>
        <v>45719</v>
      </c>
      <c r="D48" s="119" vm="80">
        <f ca="1"/>
        <v>440.72</v>
      </c>
      <c r="E48" s="119"/>
    </row>
    <row r="49" spans="3:5" x14ac:dyDescent="0.25">
      <c r="C49" s="122" vm="81">
        <f ca="1"/>
        <v>45720</v>
      </c>
      <c r="D49" s="119" vm="82">
        <f ca="1"/>
        <v>446.03</v>
      </c>
      <c r="E49" s="119"/>
    </row>
    <row r="50" spans="3:5" x14ac:dyDescent="0.25">
      <c r="C50" s="122" vm="83">
        <f ca="1"/>
        <v>45721</v>
      </c>
      <c r="D50" s="119" vm="84">
        <f ca="1"/>
        <v>451.24</v>
      </c>
      <c r="E50" s="119"/>
    </row>
    <row r="51" spans="3:5" x14ac:dyDescent="0.25">
      <c r="C51" s="122" vm="85">
        <f ca="1"/>
        <v>45722</v>
      </c>
      <c r="D51" s="119" vm="86">
        <f ca="1"/>
        <v>444.78</v>
      </c>
      <c r="E51" s="119"/>
    </row>
    <row r="52" spans="3:5" x14ac:dyDescent="0.25">
      <c r="C52" s="122" vm="87">
        <f ca="1"/>
        <v>45723</v>
      </c>
      <c r="D52" s="119" vm="88">
        <f ca="1"/>
        <v>449.4</v>
      </c>
      <c r="E52" s="119"/>
    </row>
    <row r="53" spans="3:5" x14ac:dyDescent="0.25">
      <c r="C53" s="122" vm="89">
        <f ca="1"/>
        <v>45726</v>
      </c>
      <c r="D53" s="119" vm="90">
        <f ca="1"/>
        <v>435.08</v>
      </c>
      <c r="E53" s="119"/>
    </row>
    <row r="54" spans="3:5" x14ac:dyDescent="0.25">
      <c r="C54" s="122" vm="91">
        <f ca="1"/>
        <v>45727</v>
      </c>
      <c r="D54" s="119" vm="92">
        <f ca="1"/>
        <v>433.66</v>
      </c>
      <c r="E54" s="119"/>
    </row>
    <row r="55" spans="3:5" x14ac:dyDescent="0.25">
      <c r="C55" s="122" vm="93">
        <f ca="1"/>
        <v>45728</v>
      </c>
      <c r="D55" s="119" vm="33">
        <f ca="1"/>
        <v>438.6</v>
      </c>
      <c r="E55" s="119"/>
    </row>
    <row r="56" spans="3:5" x14ac:dyDescent="0.25">
      <c r="C56" s="122" vm="94">
        <f ca="1"/>
        <v>45729</v>
      </c>
      <c r="D56" s="119" vm="95">
        <f ca="1"/>
        <v>377.84</v>
      </c>
      <c r="E56" s="119"/>
    </row>
    <row r="57" spans="3:5" x14ac:dyDescent="0.25">
      <c r="C57" s="122" vm="96">
        <f ca="1"/>
        <v>45730</v>
      </c>
      <c r="D57" s="119" vm="97">
        <f ca="1"/>
        <v>394.74</v>
      </c>
      <c r="E57" s="119"/>
    </row>
    <row r="58" spans="3:5" x14ac:dyDescent="0.25">
      <c r="C58" s="122" vm="98">
        <f ca="1"/>
        <v>45733</v>
      </c>
      <c r="D58" s="119" vm="99">
        <f ca="1"/>
        <v>399.34</v>
      </c>
      <c r="E58" s="119"/>
    </row>
    <row r="59" spans="3:5" x14ac:dyDescent="0.25">
      <c r="C59" s="122" vm="100">
        <f ca="1"/>
        <v>45734</v>
      </c>
      <c r="D59" s="119" vm="101">
        <f ca="1"/>
        <v>391.37</v>
      </c>
      <c r="E59" s="119"/>
    </row>
    <row r="60" spans="3:5" x14ac:dyDescent="0.25">
      <c r="C60" s="122" vm="102">
        <f ca="1"/>
        <v>45735</v>
      </c>
      <c r="D60" s="119" vm="103">
        <f ca="1"/>
        <v>387.89</v>
      </c>
      <c r="E60" s="119"/>
    </row>
    <row r="61" spans="3:5" x14ac:dyDescent="0.25">
      <c r="C61" s="122" vm="104">
        <f ca="1"/>
        <v>45736</v>
      </c>
      <c r="D61" s="119" vm="105">
        <f ca="1"/>
        <v>389.61</v>
      </c>
      <c r="E61" s="119"/>
    </row>
    <row r="62" spans="3:5" x14ac:dyDescent="0.25">
      <c r="C62" s="122" vm="106">
        <f ca="1"/>
        <v>45737</v>
      </c>
      <c r="D62" s="119" vm="107">
        <f ca="1"/>
        <v>387.26</v>
      </c>
      <c r="E62" s="119"/>
    </row>
    <row r="63" spans="3:5" x14ac:dyDescent="0.25">
      <c r="C63" s="122" vm="108">
        <f ca="1"/>
        <v>45740</v>
      </c>
      <c r="D63" s="119" vm="109">
        <f ca="1"/>
        <v>394.47</v>
      </c>
      <c r="E63" s="119"/>
    </row>
    <row r="64" spans="3:5" x14ac:dyDescent="0.25">
      <c r="C64" s="122" vm="110">
        <f ca="1"/>
        <v>45741</v>
      </c>
      <c r="D64" s="119" vm="111">
        <f ca="1"/>
        <v>403.64</v>
      </c>
      <c r="E64" s="119"/>
    </row>
    <row r="65" spans="3:5" x14ac:dyDescent="0.25">
      <c r="C65" s="122" vm="112">
        <f ca="1"/>
        <v>45742</v>
      </c>
      <c r="D65" s="119" vm="113">
        <f ca="1"/>
        <v>397.81</v>
      </c>
      <c r="E65" s="119"/>
    </row>
    <row r="66" spans="3:5" x14ac:dyDescent="0.25">
      <c r="C66" s="122" vm="114">
        <f ca="1"/>
        <v>45743</v>
      </c>
      <c r="D66" s="119" vm="115">
        <f ca="1"/>
        <v>396.15</v>
      </c>
      <c r="E66" s="119"/>
    </row>
    <row r="67" spans="3:5" x14ac:dyDescent="0.25">
      <c r="C67" s="122" vm="116">
        <f ca="1"/>
        <v>45744</v>
      </c>
      <c r="D67" s="119" vm="117">
        <f ca="1"/>
        <v>385.71</v>
      </c>
      <c r="E67" s="119"/>
    </row>
    <row r="68" spans="3:5" x14ac:dyDescent="0.25">
      <c r="C68" s="122" vm="118">
        <f ca="1"/>
        <v>45747</v>
      </c>
      <c r="D68" s="119" vm="119">
        <f ca="1"/>
        <v>383.53</v>
      </c>
      <c r="E68" s="119"/>
    </row>
    <row r="69" spans="3:5" x14ac:dyDescent="0.25">
      <c r="C69" s="122" vm="120">
        <f ca="1"/>
        <v>45748</v>
      </c>
      <c r="D69" s="119" vm="121">
        <f ca="1"/>
        <v>383.2</v>
      </c>
      <c r="E69" s="119"/>
    </row>
    <row r="70" spans="3:5" x14ac:dyDescent="0.25">
      <c r="C70" s="122" vm="122">
        <f ca="1"/>
        <v>45749</v>
      </c>
      <c r="D70" s="119" vm="123">
        <f ca="1"/>
        <v>385.78</v>
      </c>
      <c r="E70" s="119"/>
    </row>
    <row r="71" spans="3:5" x14ac:dyDescent="0.25">
      <c r="C71" s="122" vm="124">
        <f ca="1"/>
        <v>45750</v>
      </c>
      <c r="D71" s="119" vm="125">
        <f ca="1"/>
        <v>367.25</v>
      </c>
      <c r="E71" s="119"/>
    </row>
    <row r="72" spans="3:5" x14ac:dyDescent="0.25">
      <c r="C72" s="122" vm="126">
        <f ca="1"/>
        <v>45751</v>
      </c>
      <c r="D72" s="119" vm="127">
        <f ca="1"/>
        <v>349.07</v>
      </c>
      <c r="E72" s="119"/>
    </row>
    <row r="73" spans="3:5" x14ac:dyDescent="0.25">
      <c r="C73" s="122" vm="128">
        <f ca="1"/>
        <v>45754</v>
      </c>
      <c r="D73" s="119" vm="129">
        <f ca="1"/>
        <v>340.7</v>
      </c>
      <c r="E73" s="119"/>
    </row>
    <row r="74" spans="3:5" x14ac:dyDescent="0.25">
      <c r="C74" s="122" vm="130">
        <f ca="1"/>
        <v>45755</v>
      </c>
      <c r="D74" s="119" vm="131">
        <f ca="1"/>
        <v>340</v>
      </c>
      <c r="E74" s="119"/>
    </row>
    <row r="75" spans="3:5" x14ac:dyDescent="0.25">
      <c r="C75" s="122" vm="132">
        <f ca="1"/>
        <v>45756</v>
      </c>
      <c r="D75" s="119" vm="133">
        <f ca="1"/>
        <v>364.64</v>
      </c>
      <c r="E75" s="119"/>
    </row>
    <row r="76" spans="3:5" x14ac:dyDescent="0.25">
      <c r="C76" s="122" vm="134">
        <f ca="1"/>
        <v>45757</v>
      </c>
      <c r="D76" s="119" vm="135">
        <f ca="1"/>
        <v>350.05</v>
      </c>
      <c r="E76" s="119"/>
    </row>
    <row r="77" spans="3:5" x14ac:dyDescent="0.25">
      <c r="C77" s="122" vm="136">
        <f ca="1"/>
        <v>45758</v>
      </c>
      <c r="D77" s="119" vm="137">
        <f ca="1"/>
        <v>352.47</v>
      </c>
      <c r="E77" s="119"/>
    </row>
    <row r="78" spans="3:5" x14ac:dyDescent="0.25">
      <c r="C78" s="122" vm="138">
        <f ca="1"/>
        <v>45761</v>
      </c>
      <c r="D78" s="119" vm="139">
        <f ca="1"/>
        <v>350.91</v>
      </c>
      <c r="E78" s="119"/>
    </row>
    <row r="79" spans="3:5" x14ac:dyDescent="0.25">
      <c r="C79" s="122" vm="140">
        <f ca="1"/>
        <v>45762</v>
      </c>
      <c r="D79" s="119" vm="141">
        <f ca="1"/>
        <v>350.38</v>
      </c>
      <c r="E79" s="119"/>
    </row>
    <row r="80" spans="3:5" x14ac:dyDescent="0.25">
      <c r="C80" s="122" vm="142">
        <f ca="1"/>
        <v>45763</v>
      </c>
      <c r="D80" s="119" vm="143">
        <f ca="1"/>
        <v>344.19</v>
      </c>
      <c r="E80" s="119"/>
    </row>
    <row r="81" spans="3:5" x14ac:dyDescent="0.25">
      <c r="C81" s="122" vm="144">
        <f ca="1"/>
        <v>45764</v>
      </c>
      <c r="D81" s="119" vm="145">
        <f ca="1"/>
        <v>348.8</v>
      </c>
      <c r="E81" s="119"/>
    </row>
    <row r="82" spans="3:5" x14ac:dyDescent="0.25">
      <c r="C82" s="122" vm="146">
        <f ca="1"/>
        <v>45768</v>
      </c>
      <c r="D82" s="119" vm="147">
        <f ca="1"/>
        <v>343.22</v>
      </c>
      <c r="E82" s="119"/>
    </row>
    <row r="83" spans="3:5" x14ac:dyDescent="0.25">
      <c r="C83" s="122" vm="148">
        <f ca="1"/>
        <v>45769</v>
      </c>
      <c r="D83" s="119" vm="149">
        <f ca="1"/>
        <v>349.91</v>
      </c>
      <c r="E83" s="119"/>
    </row>
    <row r="84" spans="3:5" x14ac:dyDescent="0.25">
      <c r="C84" s="122" vm="150">
        <f ca="1"/>
        <v>45770</v>
      </c>
      <c r="D84" s="119" vm="151">
        <f ca="1"/>
        <v>351.96</v>
      </c>
      <c r="E84" s="119"/>
    </row>
    <row r="85" spans="3:5" x14ac:dyDescent="0.25">
      <c r="C85" s="122" vm="152">
        <f ca="1"/>
        <v>45771</v>
      </c>
      <c r="D85" s="119" vm="153">
        <f ca="1"/>
        <v>360.91</v>
      </c>
      <c r="E85" s="119"/>
    </row>
    <row r="86" spans="3:5" x14ac:dyDescent="0.25">
      <c r="C86" s="122" vm="154">
        <f ca="1"/>
        <v>45772</v>
      </c>
      <c r="D86" s="119" vm="155">
        <f ca="1"/>
        <v>367.72</v>
      </c>
      <c r="E86" s="119"/>
    </row>
    <row r="87" spans="3:5" x14ac:dyDescent="0.25">
      <c r="C87" s="122" vm="156">
        <f ca="1"/>
        <v>45775</v>
      </c>
      <c r="D87" s="119" vm="157">
        <f ca="1"/>
        <v>368.62</v>
      </c>
      <c r="E87" s="119"/>
    </row>
    <row r="88" spans="3:5" x14ac:dyDescent="0.25">
      <c r="C88" s="122" vm="158">
        <f ca="1"/>
        <v>45776</v>
      </c>
      <c r="D88" s="119" vm="159">
        <f ca="1"/>
        <v>370.98</v>
      </c>
      <c r="E88" s="119"/>
    </row>
    <row r="89" spans="3:5" x14ac:dyDescent="0.25">
      <c r="C89" s="122" vm="160">
        <f ca="1"/>
        <v>45777</v>
      </c>
      <c r="D89" s="119" vm="161">
        <f ca="1"/>
        <v>374.98</v>
      </c>
      <c r="E89" s="119"/>
    </row>
    <row r="90" spans="3:5" x14ac:dyDescent="0.25">
      <c r="C90" s="122" vm="162">
        <f ca="1"/>
        <v>45778</v>
      </c>
      <c r="D90" s="119" vm="163">
        <f ca="1"/>
        <v>374.63</v>
      </c>
      <c r="E90" s="119"/>
    </row>
    <row r="91" spans="3:5" x14ac:dyDescent="0.25">
      <c r="C91" s="122" vm="164">
        <f ca="1"/>
        <v>45779</v>
      </c>
      <c r="D91" s="119" vm="165">
        <f ca="1"/>
        <v>380.87</v>
      </c>
      <c r="E91" s="119"/>
    </row>
    <row r="92" spans="3:5" x14ac:dyDescent="0.25">
      <c r="C92" s="122" vm="166">
        <f ca="1"/>
        <v>45782</v>
      </c>
      <c r="D92" s="119" vm="167">
        <f ca="1"/>
        <v>381.06</v>
      </c>
      <c r="E92" s="119"/>
    </row>
    <row r="93" spans="3:5" x14ac:dyDescent="0.25">
      <c r="C93" s="122" vm="168">
        <f ca="1"/>
        <v>45783</v>
      </c>
      <c r="D93" s="119" vm="169">
        <f ca="1"/>
        <v>382.98</v>
      </c>
      <c r="E93" s="119"/>
    </row>
    <row r="94" spans="3:5" x14ac:dyDescent="0.25">
      <c r="C94" s="122" vm="170">
        <f ca="1"/>
        <v>45784</v>
      </c>
      <c r="D94" s="119" vm="171">
        <f ca="1"/>
        <v>384.97</v>
      </c>
      <c r="E94" s="119"/>
    </row>
    <row r="95" spans="3:5" x14ac:dyDescent="0.25">
      <c r="C95" s="122" vm="172">
        <f ca="1"/>
        <v>45785</v>
      </c>
      <c r="D95" s="119" vm="173">
        <f ca="1"/>
        <v>383.99</v>
      </c>
      <c r="E95" s="119"/>
    </row>
    <row r="96" spans="3:5" x14ac:dyDescent="0.25">
      <c r="C96" s="122" vm="174">
        <f ca="1"/>
        <v>45786</v>
      </c>
      <c r="D96" s="119" vm="175">
        <f ca="1"/>
        <v>383.28</v>
      </c>
      <c r="E96" s="119"/>
    </row>
    <row r="97" spans="3:5" x14ac:dyDescent="0.25">
      <c r="C97" s="122" vm="176">
        <f ca="1"/>
        <v>45789</v>
      </c>
      <c r="D97" s="119" vm="177">
        <f ca="1"/>
        <v>395.94</v>
      </c>
      <c r="E97" s="119"/>
    </row>
    <row r="98" spans="3:5" x14ac:dyDescent="0.25">
      <c r="C98" s="122" vm="178">
        <f ca="1"/>
        <v>45790</v>
      </c>
      <c r="D98" s="119" vm="179">
        <f ca="1"/>
        <v>397.4</v>
      </c>
      <c r="E98" s="119"/>
    </row>
    <row r="99" spans="3:5" x14ac:dyDescent="0.25">
      <c r="C99" s="122" vm="180">
        <f ca="1"/>
        <v>45791</v>
      </c>
      <c r="D99" s="119" vm="181">
        <f ca="1"/>
        <v>399.47</v>
      </c>
      <c r="E99" s="119"/>
    </row>
    <row r="100" spans="3:5" x14ac:dyDescent="0.25">
      <c r="C100" s="122" vm="182">
        <f ca="1"/>
        <v>45792</v>
      </c>
      <c r="D100" s="119" vm="183">
        <f ca="1"/>
        <v>404.69</v>
      </c>
      <c r="E100" s="119"/>
    </row>
    <row r="101" spans="3:5" x14ac:dyDescent="0.25">
      <c r="C101" s="122" vm="184">
        <f ca="1"/>
        <v>45793</v>
      </c>
      <c r="D101" s="119" vm="185">
        <f ca="1"/>
        <v>417.125</v>
      </c>
      <c r="E101" s="119"/>
    </row>
    <row r="102" spans="3:5" x14ac:dyDescent="0.25">
      <c r="C102" s="122" vm="186">
        <f ca="1"/>
        <v>45796</v>
      </c>
      <c r="D102" s="119" vm="187">
        <f ca="1"/>
        <v>420.68</v>
      </c>
      <c r="E102" s="119"/>
    </row>
    <row r="103" spans="3:5" x14ac:dyDescent="0.25">
      <c r="C103" s="122" vm="188">
        <f ca="1"/>
        <v>45797</v>
      </c>
      <c r="D103" s="119" vm="189">
        <f ca="1"/>
        <v>417.61</v>
      </c>
      <c r="E103" s="119"/>
    </row>
    <row r="104" spans="3:5" x14ac:dyDescent="0.25">
      <c r="C104" s="122" vm="190">
        <f ca="1"/>
        <v>45798</v>
      </c>
      <c r="D104" s="119" vm="191">
        <f ca="1"/>
        <v>414.03</v>
      </c>
      <c r="E104" s="119"/>
    </row>
    <row r="105" spans="3:5" x14ac:dyDescent="0.25">
      <c r="C105" s="122" vm="192">
        <f ca="1"/>
        <v>45799</v>
      </c>
      <c r="D105" s="119" vm="193">
        <f ca="1"/>
        <v>414.33</v>
      </c>
      <c r="E105" s="119"/>
    </row>
    <row r="106" spans="3:5" x14ac:dyDescent="0.25">
      <c r="C106" s="122" vm="194">
        <f ca="1"/>
        <v>45800</v>
      </c>
      <c r="D106" s="119" vm="195">
        <f ca="1"/>
        <v>407.69</v>
      </c>
      <c r="E106" s="119"/>
    </row>
    <row r="107" spans="3:5" x14ac:dyDescent="0.25">
      <c r="C107" s="122" vm="196">
        <f ca="1"/>
        <v>45804</v>
      </c>
      <c r="D107" s="119" vm="197">
        <f ca="1"/>
        <v>413.1</v>
      </c>
      <c r="E107" s="119"/>
    </row>
    <row r="108" spans="3:5" x14ac:dyDescent="0.25">
      <c r="C108" s="122" vm="198">
        <f ca="1"/>
        <v>45805</v>
      </c>
      <c r="D108" s="119" vm="199">
        <f ca="1"/>
        <v>412.23</v>
      </c>
      <c r="E108" s="119"/>
    </row>
    <row r="109" spans="3:5" x14ac:dyDescent="0.25">
      <c r="C109" s="122" vm="200">
        <f ca="1"/>
        <v>45806</v>
      </c>
      <c r="D109" s="119" vm="201">
        <f ca="1"/>
        <v>413.36</v>
      </c>
      <c r="E109" s="119"/>
    </row>
    <row r="110" spans="3:5" x14ac:dyDescent="0.25">
      <c r="C110" s="122" vm="202">
        <f ca="1"/>
        <v>45807</v>
      </c>
      <c r="D110" s="119" vm="203">
        <f ca="1"/>
        <v>415.09</v>
      </c>
      <c r="E110" s="119"/>
    </row>
    <row r="111" spans="3:5" x14ac:dyDescent="0.25">
      <c r="C111" s="122" vm="204">
        <f ca="1"/>
        <v>45810</v>
      </c>
      <c r="D111" s="119" vm="205">
        <f ca="1"/>
        <v>403.4</v>
      </c>
      <c r="E111" s="119"/>
    </row>
    <row r="112" spans="3:5" x14ac:dyDescent="0.25">
      <c r="C112" s="122" vm="206">
        <f ca="1"/>
        <v>45811</v>
      </c>
      <c r="D112" s="119" vm="207">
        <f ca="1"/>
        <v>412.49</v>
      </c>
      <c r="E112" s="119"/>
    </row>
    <row r="113" spans="3:5" x14ac:dyDescent="0.25">
      <c r="C113" s="122" vm="208">
        <f ca="1"/>
        <v>45812</v>
      </c>
      <c r="D113" s="119" vm="209">
        <f ca="1"/>
        <v>413.91</v>
      </c>
      <c r="E113" s="119"/>
    </row>
    <row r="114" spans="3:5" x14ac:dyDescent="0.25">
      <c r="C114" s="122" vm="210">
        <f ca="1"/>
        <v>45813</v>
      </c>
      <c r="D114" s="119" vm="211">
        <f ca="1"/>
        <v>415.2</v>
      </c>
      <c r="E114" s="119"/>
    </row>
    <row r="115" spans="3:5" x14ac:dyDescent="0.25">
      <c r="C115" s="122" vm="212">
        <f ca="1"/>
        <v>45814</v>
      </c>
      <c r="D115" s="119" vm="213">
        <f ca="1"/>
        <v>416.92</v>
      </c>
      <c r="E115" s="119"/>
    </row>
    <row r="116" spans="3:5" x14ac:dyDescent="0.25">
      <c r="C116" s="122" vm="214">
        <f ca="1"/>
        <v>45817</v>
      </c>
      <c r="D116" s="119" vm="215">
        <f ca="1"/>
        <v>416.26</v>
      </c>
      <c r="E116" s="119"/>
    </row>
    <row r="117" spans="3:5" x14ac:dyDescent="0.25">
      <c r="C117" s="122" vm="216">
        <f ca="1"/>
        <v>45818</v>
      </c>
      <c r="D117" s="119" vm="217">
        <f ca="1"/>
        <v>416.06</v>
      </c>
      <c r="E117" s="119"/>
    </row>
    <row r="118" spans="3:5" x14ac:dyDescent="0.25">
      <c r="C118" s="122" vm="218">
        <f ca="1"/>
        <v>45819</v>
      </c>
      <c r="D118" s="119" vm="219">
        <f ca="1"/>
        <v>412.84</v>
      </c>
      <c r="E118" s="119"/>
    </row>
    <row r="119" spans="3:5" x14ac:dyDescent="0.25">
      <c r="C119" s="122" vm="220">
        <f ca="1"/>
        <v>45820</v>
      </c>
      <c r="D119" s="119" vm="221">
        <f ca="1"/>
        <v>413.68</v>
      </c>
      <c r="E119" s="119"/>
    </row>
    <row r="120" spans="3:5" x14ac:dyDescent="0.25">
      <c r="C120" s="122" vm="222">
        <f ca="1"/>
        <v>45821</v>
      </c>
      <c r="D120" s="119" vm="223">
        <f ca="1"/>
        <v>391.68</v>
      </c>
      <c r="E120" s="119"/>
    </row>
    <row r="121" spans="3:5" x14ac:dyDescent="0.25">
      <c r="C121" s="122" vm="224">
        <f ca="1"/>
        <v>45824</v>
      </c>
      <c r="D121" s="119" vm="225">
        <f ca="1"/>
        <v>401.73</v>
      </c>
      <c r="E121" s="119"/>
    </row>
    <row r="122" spans="3:5" x14ac:dyDescent="0.25">
      <c r="C122" s="122" vm="226">
        <f ca="1"/>
        <v>45825</v>
      </c>
      <c r="D122" s="119" vm="227">
        <f ca="1"/>
        <v>382.68</v>
      </c>
      <c r="E122" s="119"/>
    </row>
    <row r="123" spans="3:5" x14ac:dyDescent="0.25">
      <c r="C123" s="122" vm="228">
        <f ca="1"/>
        <v>45826</v>
      </c>
      <c r="D123" s="119" vm="229">
        <f ca="1"/>
        <v>378.04</v>
      </c>
      <c r="E123" s="119"/>
    </row>
    <row r="124" spans="3:5" x14ac:dyDescent="0.25">
      <c r="C124" s="122" vm="230">
        <f ca="1"/>
        <v>45828</v>
      </c>
      <c r="D124" s="119" vm="231">
        <f ca="1"/>
        <v>376.92</v>
      </c>
      <c r="E124" s="119"/>
    </row>
    <row r="125" spans="3:5" x14ac:dyDescent="0.25">
      <c r="C125" s="122" vm="232">
        <f ca="1"/>
        <v>45831</v>
      </c>
      <c r="D125" s="119" vm="233">
        <f ca="1"/>
        <v>380.12</v>
      </c>
      <c r="E125" s="119"/>
    </row>
    <row r="126" spans="3:5" x14ac:dyDescent="0.25">
      <c r="C126" s="122" vm="234">
        <f ca="1"/>
        <v>45832</v>
      </c>
      <c r="D126" s="119" vm="235">
        <f ca="1"/>
        <v>382.34</v>
      </c>
      <c r="E126" s="119"/>
    </row>
    <row r="127" spans="3:5" x14ac:dyDescent="0.25">
      <c r="C127" s="122" vm="236">
        <f ca="1"/>
        <v>45833</v>
      </c>
      <c r="D127" s="119" vm="237">
        <f ca="1"/>
        <v>387.55</v>
      </c>
      <c r="E127" s="119"/>
    </row>
    <row r="128" spans="3:5" x14ac:dyDescent="0.25">
      <c r="C128" s="122" vm="238">
        <f ca="1"/>
        <v>45834</v>
      </c>
      <c r="D128" s="119" vm="239">
        <f ca="1"/>
        <v>384.95</v>
      </c>
      <c r="E128" s="119"/>
    </row>
    <row r="129" spans="3:5" x14ac:dyDescent="0.25">
      <c r="C129" s="122" vm="240">
        <f ca="1"/>
        <v>45835</v>
      </c>
      <c r="D129" s="119" vm="241">
        <f ca="1"/>
        <v>385.83</v>
      </c>
      <c r="E129" s="119"/>
    </row>
    <row r="130" spans="3:5" x14ac:dyDescent="0.25">
      <c r="C130" s="122" vm="242">
        <f ca="1"/>
        <v>45838</v>
      </c>
      <c r="D130" s="119" vm="243">
        <f ca="1"/>
        <v>386.88</v>
      </c>
      <c r="E130" s="119"/>
    </row>
    <row r="131" spans="3:5" x14ac:dyDescent="0.25">
      <c r="C131" s="122" vm="244">
        <f ca="1"/>
        <v>45839</v>
      </c>
      <c r="D131" s="119" vm="245">
        <f ca="1"/>
        <v>392.1</v>
      </c>
      <c r="E131" s="119"/>
    </row>
    <row r="132" spans="3:5" x14ac:dyDescent="0.25">
      <c r="C132" s="122" vm="246">
        <f ca="1"/>
        <v>45840</v>
      </c>
      <c r="D132" s="119" vm="247">
        <f ca="1"/>
        <v>378.47</v>
      </c>
      <c r="E132" s="119"/>
    </row>
    <row r="133" spans="3:5" x14ac:dyDescent="0.25">
      <c r="C133" s="122" vm="248">
        <f ca="1"/>
        <v>45841</v>
      </c>
      <c r="D133" s="119" vm="249">
        <f ca="1"/>
        <v>379.31</v>
      </c>
      <c r="E133" s="119"/>
    </row>
    <row r="134" spans="3:5" x14ac:dyDescent="0.25">
      <c r="C134" s="122" vm="250">
        <f ca="1"/>
        <v>45845</v>
      </c>
      <c r="D134" s="119" vm="251">
        <f ca="1"/>
        <v>376.93</v>
      </c>
      <c r="E134" s="119"/>
    </row>
    <row r="135" spans="3:5" x14ac:dyDescent="0.25">
      <c r="C135" s="122" vm="252">
        <f ca="1"/>
        <v>45846</v>
      </c>
      <c r="D135" s="119" vm="253">
        <f ca="1"/>
        <v>382.24</v>
      </c>
      <c r="E135" s="119"/>
    </row>
    <row r="136" spans="3:5" x14ac:dyDescent="0.25">
      <c r="C136" s="122" vm="254">
        <f ca="1"/>
        <v>45847</v>
      </c>
      <c r="D136" s="119" vm="255">
        <f ca="1"/>
        <v>373.38</v>
      </c>
      <c r="E136" s="119"/>
    </row>
    <row r="137" spans="3:5" x14ac:dyDescent="0.25">
      <c r="C137" s="122" vm="256">
        <f ca="1"/>
        <v>45848</v>
      </c>
      <c r="D137" s="119" vm="257">
        <f ca="1"/>
        <v>371.43</v>
      </c>
      <c r="E137" s="119"/>
    </row>
    <row r="138" spans="3:5" x14ac:dyDescent="0.25">
      <c r="C138" s="122" vm="258">
        <f ca="1"/>
        <v>45849</v>
      </c>
      <c r="D138" s="119" vm="259">
        <f ca="1"/>
        <v>363.35</v>
      </c>
      <c r="E138" s="119"/>
    </row>
    <row r="139" spans="3:5" x14ac:dyDescent="0.25">
      <c r="C139" s="122" vm="260">
        <f ca="1"/>
        <v>45852</v>
      </c>
      <c r="D139" s="119" vm="261">
        <f ca="1"/>
        <v>366.99</v>
      </c>
      <c r="E139" s="119"/>
    </row>
    <row r="140" spans="3:5" x14ac:dyDescent="0.25">
      <c r="C140" s="122" vm="262">
        <f ca="1"/>
        <v>45853</v>
      </c>
      <c r="D140" s="119" vm="263">
        <f ca="1"/>
        <v>364.18</v>
      </c>
      <c r="E140" s="119"/>
    </row>
    <row r="141" spans="3:5" x14ac:dyDescent="0.25">
      <c r="C141" s="122" vm="264">
        <f ca="1"/>
        <v>45854</v>
      </c>
      <c r="D141" s="119" vm="265">
        <f ca="1"/>
        <v>361.77</v>
      </c>
      <c r="E141" s="119"/>
    </row>
    <row r="142" spans="3:5" x14ac:dyDescent="0.25">
      <c r="C142" s="122" vm="266">
        <f ca="1"/>
        <v>45855</v>
      </c>
      <c r="D142" s="119" vm="267">
        <f ca="1"/>
        <v>366.45</v>
      </c>
      <c r="E142" s="119"/>
    </row>
    <row r="143" spans="3:5" x14ac:dyDescent="0.25">
      <c r="C143" s="122" vm="268">
        <f ca="1"/>
        <v>45856</v>
      </c>
      <c r="D143" s="119" vm="269">
        <f ca="1"/>
        <v>365.79</v>
      </c>
      <c r="E143" s="119"/>
    </row>
    <row r="144" spans="3:5" x14ac:dyDescent="0.25">
      <c r="C144" s="122" vm="270">
        <f ca="1"/>
        <v>45859</v>
      </c>
      <c r="D144" s="119" vm="271">
        <f ca="1"/>
        <v>367.68</v>
      </c>
      <c r="E144" s="119"/>
    </row>
    <row r="145" spans="3:5" x14ac:dyDescent="0.25">
      <c r="C145" s="122" vm="272">
        <f ca="1"/>
        <v>45860</v>
      </c>
      <c r="D145" s="119" vm="273">
        <f ca="1"/>
        <v>372.87</v>
      </c>
      <c r="E145" s="119"/>
    </row>
    <row r="146" spans="3:5" x14ac:dyDescent="0.25">
      <c r="C146" s="122" vm="274">
        <f ca="1"/>
        <v>45861</v>
      </c>
      <c r="D146" s="119" vm="275">
        <f ca="1"/>
        <v>372.46</v>
      </c>
      <c r="E146" s="119"/>
    </row>
    <row r="147" spans="3:5" x14ac:dyDescent="0.25">
      <c r="C147" s="122" vm="276">
        <f ca="1"/>
        <v>45862</v>
      </c>
      <c r="D147" s="119" vm="277">
        <f ca="1"/>
        <v>371.69</v>
      </c>
      <c r="E147" s="119"/>
    </row>
    <row r="148" spans="3:5" x14ac:dyDescent="0.25">
      <c r="C148" s="122" vm="278">
        <f ca="1"/>
        <v>45863</v>
      </c>
      <c r="D148" s="119" vm="279">
        <f ca="1"/>
        <v>370.74</v>
      </c>
      <c r="E148" s="119"/>
    </row>
    <row r="149" spans="3:5" x14ac:dyDescent="0.25">
      <c r="C149" s="122" vm="280">
        <f ca="1"/>
        <v>45866</v>
      </c>
      <c r="D149" s="119" vm="281">
        <f ca="1"/>
        <v>369.47</v>
      </c>
      <c r="E149" s="119"/>
    </row>
    <row r="150" spans="3:5" x14ac:dyDescent="0.25">
      <c r="C150" s="122" vm="282">
        <f ca="1"/>
        <v>45867</v>
      </c>
      <c r="D150" s="119" vm="283">
        <f ca="1"/>
        <v>370.7</v>
      </c>
      <c r="E150" s="119"/>
    </row>
    <row r="151" spans="3:5" x14ac:dyDescent="0.25">
      <c r="C151" s="122" vm="284">
        <f ca="1"/>
        <v>45868</v>
      </c>
      <c r="D151" s="119" vm="285">
        <f ca="1"/>
        <v>364</v>
      </c>
      <c r="E151" s="119"/>
    </row>
    <row r="152" spans="3:5" x14ac:dyDescent="0.25">
      <c r="C152" s="122" vm="286">
        <f ca="1"/>
        <v>45869</v>
      </c>
      <c r="D152" s="119" vm="287">
        <f ca="1"/>
        <v>357.69</v>
      </c>
      <c r="E152" s="119"/>
    </row>
    <row r="153" spans="3:5" x14ac:dyDescent="0.25">
      <c r="C153" s="122" vm="288">
        <f ca="1"/>
        <v>45870</v>
      </c>
      <c r="D153" s="119" vm="289">
        <f ca="1"/>
        <v>347.8</v>
      </c>
      <c r="E153" s="119"/>
    </row>
    <row r="154" spans="3:5" x14ac:dyDescent="0.25">
      <c r="C154" s="122" vm="290">
        <f ca="1"/>
        <v>45873</v>
      </c>
      <c r="D154" s="119" vm="291">
        <f ca="1"/>
        <v>338.85</v>
      </c>
      <c r="E154" s="119"/>
    </row>
    <row r="155" spans="3:5" x14ac:dyDescent="0.25">
      <c r="C155" s="122" vm="292">
        <f ca="1"/>
        <v>45874</v>
      </c>
      <c r="D155" s="119" vm="293">
        <f ca="1"/>
        <v>338.74</v>
      </c>
      <c r="E155" s="119"/>
    </row>
    <row r="156" spans="3:5" x14ac:dyDescent="0.25">
      <c r="C156" s="122" vm="294">
        <f ca="1"/>
        <v>45875</v>
      </c>
      <c r="D156" s="119" vm="295">
        <f ca="1"/>
        <v>345.62</v>
      </c>
      <c r="E156" s="119"/>
    </row>
    <row r="157" spans="3:5" x14ac:dyDescent="0.25">
      <c r="C157" s="122" vm="296">
        <f ca="1"/>
        <v>45876</v>
      </c>
      <c r="D157" s="119" vm="297">
        <f ca="1"/>
        <v>338.27</v>
      </c>
      <c r="E157" s="119"/>
    </row>
    <row r="158" spans="3:5" x14ac:dyDescent="0.25">
      <c r="C158" s="122" vm="298">
        <f ca="1"/>
        <v>45877</v>
      </c>
      <c r="D158" s="119" vm="299">
        <f ca="1"/>
        <v>341.05</v>
      </c>
      <c r="E158" s="119"/>
    </row>
    <row r="159" spans="3:5" x14ac:dyDescent="0.25">
      <c r="C159" s="122" vm="300">
        <f ca="1"/>
        <v>45880</v>
      </c>
      <c r="D159" s="119" vm="301">
        <f ca="1"/>
        <v>333.65</v>
      </c>
      <c r="E159" s="119"/>
    </row>
    <row r="160" spans="3:5" x14ac:dyDescent="0.25">
      <c r="C160" s="122" vm="302">
        <f ca="1"/>
        <v>45881</v>
      </c>
      <c r="D160" s="119" vm="303">
        <f ca="1"/>
        <v>338.43</v>
      </c>
      <c r="E160" s="119"/>
    </row>
    <row r="161" spans="3:5" x14ac:dyDescent="0.25">
      <c r="C161" s="122" vm="304">
        <f ca="1"/>
        <v>45882</v>
      </c>
      <c r="D161" s="119" vm="305">
        <f ca="1"/>
        <v>351.07</v>
      </c>
      <c r="E161" s="119"/>
    </row>
    <row r="162" spans="3:5" x14ac:dyDescent="0.25">
      <c r="C162" s="122" vm="306">
        <f ca="1"/>
        <v>45883</v>
      </c>
      <c r="D162" s="119" vm="307">
        <f ca="1"/>
        <v>348.58</v>
      </c>
      <c r="E162" s="119"/>
    </row>
    <row r="163" spans="3:5" x14ac:dyDescent="0.25">
      <c r="C163" s="122" vm="308">
        <f ca="1"/>
        <v>45884</v>
      </c>
      <c r="D163" s="119" vm="309">
        <f ca="1"/>
        <v>354.85</v>
      </c>
      <c r="E163" s="119"/>
    </row>
    <row r="164" spans="3:5" x14ac:dyDescent="0.25">
      <c r="C164" s="122" vm="310">
        <f ca="1"/>
        <v>45887</v>
      </c>
      <c r="D164" s="119" vm="311">
        <f ca="1"/>
        <v>357.24</v>
      </c>
      <c r="E164" s="119"/>
    </row>
    <row r="165" spans="3:5" x14ac:dyDescent="0.25">
      <c r="C165" s="122" vm="312">
        <f ca="1"/>
        <v>45888</v>
      </c>
      <c r="D165" s="119" vm="313">
        <f ca="1"/>
        <v>361.03</v>
      </c>
      <c r="E165" s="119"/>
    </row>
    <row r="166" spans="3:5" x14ac:dyDescent="0.25">
      <c r="C166" s="122" vm="314">
        <f ca="1"/>
        <v>45889</v>
      </c>
      <c r="D166" s="119" vm="315">
        <f ca="1"/>
        <v>353.43</v>
      </c>
      <c r="E166" s="119"/>
    </row>
    <row r="167" spans="3:5" x14ac:dyDescent="0.25">
      <c r="C167" s="122" vm="316">
        <f ca="1"/>
        <v>45890</v>
      </c>
      <c r="D167" s="119" vm="315">
        <f ca="1"/>
        <v>353.43</v>
      </c>
      <c r="E167" s="119"/>
    </row>
    <row r="168" spans="3:5" x14ac:dyDescent="0.25">
      <c r="C168" s="122" vm="317">
        <f ca="1"/>
        <v>45891</v>
      </c>
      <c r="D168" s="119" vm="318">
        <f ca="1"/>
        <v>362.09</v>
      </c>
      <c r="E168" s="119"/>
    </row>
    <row r="169" spans="3:5" x14ac:dyDescent="0.25">
      <c r="C169" s="122" vm="319">
        <f ca="1"/>
        <v>45894</v>
      </c>
      <c r="D169" s="119" vm="320">
        <f ca="1"/>
        <v>363.21</v>
      </c>
      <c r="E169" s="119"/>
    </row>
    <row r="170" spans="3:5" x14ac:dyDescent="0.25">
      <c r="C170" s="122" vm="321">
        <f ca="1"/>
        <v>45895</v>
      </c>
      <c r="D170" s="119" vm="322">
        <f ca="1"/>
        <v>354.91</v>
      </c>
      <c r="E170" s="119"/>
    </row>
    <row r="171" spans="3:5" x14ac:dyDescent="0.25">
      <c r="C171" s="122" vm="323">
        <f ca="1"/>
        <v>45896</v>
      </c>
      <c r="D171" s="119" vm="324">
        <f ca="1"/>
        <v>356.35</v>
      </c>
      <c r="E171" s="119"/>
    </row>
    <row r="172" spans="3:5" x14ac:dyDescent="0.25">
      <c r="C172" s="122" vm="325">
        <f ca="1"/>
        <v>45897</v>
      </c>
      <c r="D172" s="119" vm="326">
        <f ca="1"/>
        <v>353.96</v>
      </c>
      <c r="E172" s="119"/>
    </row>
    <row r="173" spans="3:5" x14ac:dyDescent="0.25">
      <c r="C173" s="122" vm="327">
        <f ca="1"/>
        <v>45898</v>
      </c>
      <c r="D173" s="119" vm="328">
        <f ca="1"/>
        <v>356.7</v>
      </c>
      <c r="E173" s="119"/>
    </row>
    <row r="174" spans="3:5" x14ac:dyDescent="0.25">
      <c r="C174" s="122" vm="329">
        <f ca="1"/>
        <v>45902</v>
      </c>
      <c r="D174" s="119" vm="330">
        <f ca="1"/>
        <v>345.63</v>
      </c>
      <c r="E174" s="119"/>
    </row>
    <row r="175" spans="3:5" x14ac:dyDescent="0.25">
      <c r="C175" s="122" vm="331">
        <f ca="1"/>
        <v>45903</v>
      </c>
      <c r="D175" s="119" vm="332">
        <f ca="1"/>
        <v>348.5</v>
      </c>
      <c r="E175" s="119"/>
    </row>
    <row r="176" spans="3:5" x14ac:dyDescent="0.25">
      <c r="C176" s="122" vm="333">
        <f ca="1"/>
        <v>45904</v>
      </c>
      <c r="D176" s="119" vm="334">
        <f ca="1"/>
        <v>344.31</v>
      </c>
      <c r="E176" s="119"/>
    </row>
    <row r="177" spans="3:5" x14ac:dyDescent="0.25">
      <c r="C177" s="122" vm="335">
        <f ca="1"/>
        <v>45905</v>
      </c>
      <c r="D177" s="119" vm="336">
        <f ca="1"/>
        <v>348.97</v>
      </c>
      <c r="E177" s="119"/>
    </row>
    <row r="178" spans="3:5" x14ac:dyDescent="0.25">
      <c r="C178" s="122" vm="337">
        <f ca="1"/>
        <v>45908</v>
      </c>
      <c r="D178" s="119" vm="338">
        <f ca="1"/>
        <v>358.66</v>
      </c>
      <c r="E178" s="119"/>
    </row>
    <row r="179" spans="3:5" x14ac:dyDescent="0.25">
      <c r="C179" s="122" vm="339">
        <f ca="1"/>
        <v>45909</v>
      </c>
      <c r="D179" s="119" vm="340">
        <f ca="1"/>
        <v>354.06</v>
      </c>
      <c r="E179" s="119"/>
    </row>
    <row r="180" spans="3:5" x14ac:dyDescent="0.25">
      <c r="C180" s="122" vm="341">
        <f ca="1"/>
        <v>45910</v>
      </c>
      <c r="D180" s="119" vm="342">
        <f ca="1"/>
        <v>350.16</v>
      </c>
      <c r="E180" s="119"/>
    </row>
    <row r="181" spans="3:5" x14ac:dyDescent="0.25">
      <c r="C181" s="122" vm="343">
        <f ca="1"/>
        <v>45911</v>
      </c>
      <c r="D181" s="119" vm="344">
        <f ca="1"/>
        <v>350.55</v>
      </c>
      <c r="E181" s="119"/>
    </row>
    <row r="182" spans="3:5" x14ac:dyDescent="0.25">
      <c r="C182" s="122" vm="345">
        <f ca="1"/>
        <v>45912</v>
      </c>
      <c r="D182" s="119" vm="346">
        <f ca="1"/>
        <v>349.36</v>
      </c>
      <c r="E182" s="119"/>
    </row>
    <row r="183" spans="3:5" x14ac:dyDescent="0.25">
      <c r="C183" s="122" vm="347">
        <f ca="1"/>
        <v>45915</v>
      </c>
      <c r="D183" s="119" vm="348">
        <f ca="1"/>
        <v>347.1</v>
      </c>
      <c r="E183" s="119"/>
    </row>
    <row r="184" spans="3:5" x14ac:dyDescent="0.25">
      <c r="C184" s="122" vm="349">
        <f ca="1"/>
        <v>45916</v>
      </c>
      <c r="D184" s="119" vm="350">
        <f ca="1"/>
        <v>352.73</v>
      </c>
      <c r="E184" s="119"/>
    </row>
    <row r="185" spans="3:5" x14ac:dyDescent="0.25">
      <c r="C185" s="122" vm="351">
        <f ca="1"/>
        <v>45917</v>
      </c>
      <c r="D185" s="119" vm="352">
        <f ca="1"/>
        <v>362.07</v>
      </c>
      <c r="E185" s="119"/>
    </row>
    <row r="186" spans="3:5" x14ac:dyDescent="0.25">
      <c r="C186" s="122" vm="353">
        <f ca="1"/>
        <v>45918</v>
      </c>
      <c r="D186" s="119" vm="354">
        <f ca="1"/>
        <v>367.46</v>
      </c>
      <c r="E186" s="119"/>
    </row>
    <row r="187" spans="3:5" x14ac:dyDescent="0.25">
      <c r="C187" s="122" vm="355">
        <f ca="1"/>
        <v>45919</v>
      </c>
      <c r="D187" s="119" vm="356">
        <f ca="1"/>
        <v>365.9</v>
      </c>
      <c r="E187" s="119"/>
    </row>
    <row r="188" spans="3:5" x14ac:dyDescent="0.25">
      <c r="C188" s="122" vm="357">
        <f ca="1"/>
        <v>45922</v>
      </c>
      <c r="D188" s="119" vm="358">
        <f ca="1"/>
        <v>364.08</v>
      </c>
      <c r="E188" s="119"/>
    </row>
    <row r="189" spans="3:5" x14ac:dyDescent="0.25">
      <c r="C189" s="122" vm="359">
        <f ca="1"/>
        <v>45923</v>
      </c>
      <c r="D189" s="119" vm="360">
        <f ca="1"/>
        <v>361.78</v>
      </c>
      <c r="E189" s="119"/>
    </row>
    <row r="190" spans="3:5" x14ac:dyDescent="0.25">
      <c r="C190" s="122" vm="361">
        <f ca="1"/>
        <v>45924</v>
      </c>
      <c r="D190" s="119" vm="362">
        <f ca="1"/>
        <v>353.27</v>
      </c>
      <c r="E190" s="119"/>
    </row>
    <row r="191" spans="3:5" x14ac:dyDescent="0.25">
      <c r="C191" s="122" vm="363">
        <f ca="1"/>
        <v>45925</v>
      </c>
      <c r="D191" s="119" vm="364">
        <f ca="1"/>
        <v>354.16</v>
      </c>
      <c r="E191" s="119"/>
    </row>
    <row r="192" spans="3:5" x14ac:dyDescent="0.25">
      <c r="C192" s="122" vm="365">
        <f ca="1"/>
        <v>45926</v>
      </c>
      <c r="D192" s="119" vm="366">
        <f ca="1"/>
        <v>360.37</v>
      </c>
      <c r="E192" s="119"/>
    </row>
    <row r="193" spans="3:5" x14ac:dyDescent="0.25">
      <c r="C193" s="122" vm="367">
        <f ca="1"/>
        <v>45929</v>
      </c>
      <c r="D193" s="119" vm="368">
        <f ca="1"/>
        <v>359.42</v>
      </c>
      <c r="E193" s="119"/>
    </row>
    <row r="194" spans="3:5" x14ac:dyDescent="0.25">
      <c r="C194" s="122" vm="369">
        <f ca="1"/>
        <v>45930</v>
      </c>
      <c r="D194" s="119" vm="370">
        <f ca="1"/>
        <v>352.75</v>
      </c>
      <c r="E194" s="119"/>
    </row>
    <row r="195" spans="3:5" x14ac:dyDescent="0.25">
      <c r="C195" s="122" vm="371">
        <f ca="1"/>
        <v>45931</v>
      </c>
      <c r="D195" s="119" vm="372">
        <f ca="1"/>
        <v>343.72</v>
      </c>
      <c r="E195" s="119"/>
    </row>
    <row r="196" spans="3:5" x14ac:dyDescent="0.25">
      <c r="C196" s="122" vm="373">
        <f ca="1"/>
        <v>45932</v>
      </c>
      <c r="D196" s="119" vm="374">
        <f ca="1"/>
        <v>351.48</v>
      </c>
      <c r="E196" s="119"/>
    </row>
    <row r="197" spans="3:5" x14ac:dyDescent="0.25">
      <c r="C197" s="122" vm="375">
        <f ca="1"/>
        <v>45933</v>
      </c>
      <c r="D197" s="119" vm="376">
        <f ca="1"/>
        <v>346.74</v>
      </c>
      <c r="E197" s="119"/>
    </row>
    <row r="198" spans="3:5" x14ac:dyDescent="0.25">
      <c r="C198" s="122" vm="377">
        <f ca="1"/>
        <v>45936</v>
      </c>
      <c r="D198" s="119" vm="378">
        <f ca="1"/>
        <v>350.14</v>
      </c>
      <c r="E198" s="119"/>
    </row>
    <row r="199" spans="3:5" x14ac:dyDescent="0.25">
      <c r="C199" s="122" vm="379">
        <f ca="1"/>
        <v>45937</v>
      </c>
      <c r="D199" s="119" vm="380">
        <f ca="1"/>
        <v>348.31</v>
      </c>
      <c r="E199" s="119"/>
    </row>
    <row r="200" spans="3:5" x14ac:dyDescent="0.25">
      <c r="C200" s="122" vm="381">
        <f ca="1"/>
        <v>45938</v>
      </c>
      <c r="D200" s="119" vm="382">
        <f ca="1"/>
        <v>348.77</v>
      </c>
      <c r="E200" s="119"/>
    </row>
    <row r="201" spans="3:5" x14ac:dyDescent="0.25">
      <c r="C201" s="122" vm="383">
        <f ca="1"/>
        <v>45939</v>
      </c>
      <c r="D201" s="119" vm="384">
        <f ca="1"/>
        <v>347.47</v>
      </c>
      <c r="E201" s="119"/>
    </row>
    <row r="202" spans="3:5" x14ac:dyDescent="0.25">
      <c r="C202" s="122" vm="385">
        <f ca="1"/>
        <v>45940</v>
      </c>
      <c r="D202" s="119" vm="386">
        <f ca="1"/>
        <v>337.51</v>
      </c>
      <c r="E202" s="119"/>
    </row>
    <row r="203" spans="3:5" x14ac:dyDescent="0.25">
      <c r="C203" s="122" vm="387">
        <f ca="1"/>
        <v>45943</v>
      </c>
      <c r="D203" s="119" vm="388">
        <f ca="1"/>
        <v>339.32</v>
      </c>
      <c r="E203" s="119"/>
    </row>
    <row r="204" spans="3:5" x14ac:dyDescent="0.25">
      <c r="C204" s="122" vm="389">
        <f ca="1"/>
        <v>45944</v>
      </c>
      <c r="D204" s="119" vm="390">
        <f ca="1"/>
        <v>335.94</v>
      </c>
      <c r="E204" s="119"/>
    </row>
    <row r="205" spans="3:5" x14ac:dyDescent="0.25">
      <c r="C205" s="122" vm="391">
        <f ca="1"/>
        <v>45945</v>
      </c>
      <c r="D205" s="119" vm="392">
        <f ca="1"/>
        <v>330.63</v>
      </c>
      <c r="E205" s="119"/>
    </row>
    <row r="206" spans="3:5" x14ac:dyDescent="0.25">
      <c r="C206" s="122" vm="393">
        <f ca="1"/>
        <v>45946</v>
      </c>
      <c r="D206" s="119" vm="394">
        <f ca="1"/>
        <v>329.23</v>
      </c>
      <c r="E206" s="119"/>
    </row>
    <row r="207" spans="3:5" x14ac:dyDescent="0.25">
      <c r="C207" s="122" vm="395">
        <f ca="1"/>
        <v>45947</v>
      </c>
      <c r="D207" s="119" vm="396">
        <f ca="1"/>
        <v>333.26</v>
      </c>
      <c r="E207" s="119"/>
    </row>
    <row r="208" spans="3:5" x14ac:dyDescent="0.25">
      <c r="C208" s="122" vm="397">
        <f ca="1"/>
        <v>45950</v>
      </c>
      <c r="D208" s="119" vm="398">
        <f ca="1"/>
        <v>343.4</v>
      </c>
      <c r="E208" s="119"/>
    </row>
    <row r="209" spans="3:5" x14ac:dyDescent="0.25">
      <c r="C209" s="122" vm="399">
        <f ca="1"/>
        <v>45951</v>
      </c>
      <c r="D209" s="119" vm="400">
        <f ca="1"/>
        <v>357.55</v>
      </c>
      <c r="E209" s="119"/>
    </row>
    <row r="210" spans="3:5" x14ac:dyDescent="0.25">
      <c r="C210" s="122" vm="401">
        <f ca="1"/>
        <v>45952</v>
      </c>
      <c r="D210" s="119" vm="402">
        <f ca="1"/>
        <v>354.09</v>
      </c>
      <c r="E210" s="119"/>
    </row>
    <row r="211" spans="3:5" x14ac:dyDescent="0.25">
      <c r="C211" s="122" vm="403">
        <f ca="1"/>
        <v>45953</v>
      </c>
      <c r="D211" s="119" vm="404">
        <f ca="1"/>
        <v>354.12</v>
      </c>
      <c r="E211" s="119"/>
    </row>
    <row r="212" spans="3:5" x14ac:dyDescent="0.25">
      <c r="C212" s="122" vm="405">
        <f ca="1"/>
        <v>45954</v>
      </c>
      <c r="D212" s="119" vm="406">
        <f ca="1"/>
        <v>353.52</v>
      </c>
      <c r="E212" s="119"/>
    </row>
    <row r="213" spans="3:5" x14ac:dyDescent="0.25">
      <c r="C213" s="122" vm="407">
        <f ca="1"/>
        <v>45957</v>
      </c>
      <c r="D213" s="119" vm="408">
        <f ca="1"/>
        <v>357.8</v>
      </c>
      <c r="E213" s="119"/>
    </row>
    <row r="214" spans="3:5" x14ac:dyDescent="0.25">
      <c r="C214" s="122" vm="409">
        <f ca="1"/>
        <v>45958</v>
      </c>
      <c r="D214" s="119" vm="410">
        <f ca="1"/>
        <v>359.91</v>
      </c>
      <c r="E214" s="119"/>
    </row>
    <row r="215" spans="3:5" x14ac:dyDescent="0.25">
      <c r="C215" s="122" vm="411">
        <f ca="1"/>
        <v>45959</v>
      </c>
      <c r="D215" s="119" vm="412">
        <f ca="1"/>
        <v>337.86</v>
      </c>
      <c r="E215" s="119"/>
    </row>
    <row r="216" spans="3:5" x14ac:dyDescent="0.25">
      <c r="C216" s="122" vm="413">
        <f ca="1"/>
        <v>45960</v>
      </c>
      <c r="D216" s="119" vm="414">
        <f ca="1"/>
        <v>339.24</v>
      </c>
      <c r="E216" s="119"/>
    </row>
    <row r="217" spans="3:5" x14ac:dyDescent="0.25">
      <c r="C217" s="122" vm="415">
        <f ca="1"/>
        <v>45961</v>
      </c>
      <c r="D217" s="119" vm="416">
        <f ca="1"/>
        <v>340.31</v>
      </c>
      <c r="E217" s="119"/>
    </row>
    <row r="218" spans="3:5" x14ac:dyDescent="0.25">
      <c r="C218" s="122" vm="417">
        <f ca="1"/>
        <v>45964</v>
      </c>
      <c r="D218" s="119" vm="418">
        <f ca="1"/>
        <v>337.47</v>
      </c>
      <c r="E218" s="119"/>
    </row>
    <row r="219" spans="3:5" x14ac:dyDescent="0.25">
      <c r="C219" s="122" vm="419">
        <f ca="1"/>
        <v>45965</v>
      </c>
      <c r="D219" s="119" vm="420">
        <f ca="1"/>
        <v>335.35</v>
      </c>
      <c r="E219" s="119"/>
    </row>
    <row r="220" spans="3:5" x14ac:dyDescent="0.25">
      <c r="C220" s="122" vm="421">
        <f ca="1"/>
        <v>45966</v>
      </c>
      <c r="D220" s="119" vm="422">
        <f ca="1"/>
        <v>335.53</v>
      </c>
      <c r="E220" s="119"/>
    </row>
    <row r="221" spans="3:5" x14ac:dyDescent="0.25">
      <c r="C221" s="122" vm="423">
        <f ca="1"/>
        <v>45967</v>
      </c>
      <c r="D221" s="119" vm="424">
        <f ca="1"/>
        <v>327.35000000000002</v>
      </c>
      <c r="E221" s="119"/>
    </row>
    <row r="222" spans="3:5" x14ac:dyDescent="0.25">
      <c r="C222" s="122" vm="425">
        <f ca="1"/>
        <v>45968</v>
      </c>
      <c r="D222" s="119" vm="426">
        <f ca="1"/>
        <v>326.95</v>
      </c>
      <c r="E222" s="119"/>
    </row>
    <row r="223" spans="3:5" x14ac:dyDescent="0.25">
      <c r="C223" s="122" vm="427">
        <f ca="1"/>
        <v>45971</v>
      </c>
      <c r="D223" s="119" vm="428">
        <f ca="1"/>
        <v>328.85</v>
      </c>
      <c r="E223" s="119"/>
    </row>
    <row r="224" spans="3:5" x14ac:dyDescent="0.25">
      <c r="C224" s="122" vm="429">
        <f ca="1"/>
        <v>45972</v>
      </c>
      <c r="D224" s="119" vm="430">
        <f ca="1"/>
        <v>333.22</v>
      </c>
      <c r="E224" s="119"/>
    </row>
    <row r="225" spans="3:5" x14ac:dyDescent="0.25">
      <c r="C225" s="122" vm="431">
        <f ca="1"/>
        <v>45973</v>
      </c>
      <c r="D225" s="119" vm="432">
        <f ca="1"/>
        <v>337.05</v>
      </c>
      <c r="E225" s="119"/>
    </row>
    <row r="226" spans="3:5" x14ac:dyDescent="0.25">
      <c r="C226" s="122" vm="433">
        <f ca="1"/>
        <v>45974</v>
      </c>
      <c r="D226" s="119" vm="434">
        <f ca="1"/>
        <v>333.6</v>
      </c>
      <c r="E226" s="119"/>
    </row>
    <row r="227" spans="3:5" x14ac:dyDescent="0.25">
      <c r="C227" s="122" vm="435">
        <f ca="1"/>
        <v>45975</v>
      </c>
      <c r="D227" s="119" vm="436">
        <f ca="1"/>
        <v>331.11</v>
      </c>
      <c r="E227" s="119"/>
    </row>
    <row r="228" spans="3:5" x14ac:dyDescent="0.25">
      <c r="C228" s="122" vm="437">
        <f ca="1"/>
        <v>45978</v>
      </c>
      <c r="D228" s="119" vm="438">
        <f ca="1"/>
        <v>325.07</v>
      </c>
      <c r="E228" s="119"/>
    </row>
    <row r="229" spans="3:5" x14ac:dyDescent="0.25">
      <c r="C229" s="122" vm="439">
        <f ca="1"/>
        <v>45979</v>
      </c>
      <c r="D229" s="119" vm="440">
        <f ca="1"/>
        <v>324.47000000000003</v>
      </c>
      <c r="E229" s="119"/>
    </row>
    <row r="230" spans="3:5" x14ac:dyDescent="0.25">
      <c r="C230" s="122" vm="441">
        <f ca="1"/>
        <v>45980</v>
      </c>
      <c r="D230" s="119" vm="442">
        <f ca="1"/>
        <v>318.11</v>
      </c>
      <c r="E230" s="119"/>
    </row>
    <row r="231" spans="3:5" x14ac:dyDescent="0.25">
      <c r="C231" s="122" vm="443">
        <f ca="1"/>
        <v>45981</v>
      </c>
      <c r="D231" s="119" vm="444">
        <f ca="1"/>
        <v>312.39999999999998</v>
      </c>
      <c r="E231" s="119"/>
    </row>
    <row r="232" spans="3:5" x14ac:dyDescent="0.25">
      <c r="C232" s="122" vm="445">
        <f ca="1"/>
        <v>45982</v>
      </c>
      <c r="D232" s="119" vm="446">
        <f ca="1"/>
        <v>324.19</v>
      </c>
      <c r="E232" s="119"/>
    </row>
    <row r="233" spans="3:5" x14ac:dyDescent="0.25">
      <c r="C233" s="122" vm="447">
        <f ca="1"/>
        <v>45985</v>
      </c>
      <c r="D233" s="119" vm="448">
        <f ca="1"/>
        <v>318.73</v>
      </c>
      <c r="E233" s="119"/>
    </row>
    <row r="234" spans="3:5" x14ac:dyDescent="0.25">
      <c r="C234" s="122" vm="449">
        <f ca="1"/>
        <v>45986</v>
      </c>
      <c r="D234" s="119" vm="450">
        <f ca="1"/>
        <v>319.55</v>
      </c>
      <c r="E234" s="119"/>
    </row>
    <row r="235" spans="3:5" x14ac:dyDescent="0.25">
      <c r="C235" s="122" vm="451">
        <f ca="1"/>
        <v>45987</v>
      </c>
      <c r="D235" s="119" vm="452">
        <f ca="1"/>
        <v>317.52</v>
      </c>
      <c r="E235" s="119"/>
    </row>
    <row r="236" spans="3:5" x14ac:dyDescent="0.25">
      <c r="C236" s="122" vm="453">
        <f ca="1"/>
        <v>45989</v>
      </c>
      <c r="D236" s="119" vm="454">
        <f ca="1"/>
        <v>320.13</v>
      </c>
      <c r="E236" s="119"/>
    </row>
    <row r="237" spans="3:5" x14ac:dyDescent="0.25">
      <c r="C237" s="122" vm="455">
        <f ca="1"/>
        <v>45992</v>
      </c>
      <c r="D237" s="119" vm="456">
        <f ca="1"/>
        <v>322.85000000000002</v>
      </c>
      <c r="E237" s="119"/>
    </row>
    <row r="238" spans="3:5" x14ac:dyDescent="0.25">
      <c r="C238" s="122" vm="457">
        <f ca="1"/>
        <v>45993</v>
      </c>
      <c r="D238" s="119" vm="458">
        <f ca="1"/>
        <v>322.81</v>
      </c>
      <c r="E238" s="119"/>
    </row>
    <row r="239" spans="3:5" x14ac:dyDescent="0.25">
      <c r="C239" s="122" vm="459">
        <f ca="1"/>
        <v>45994</v>
      </c>
      <c r="D239" s="119" vm="460">
        <f ca="1"/>
        <v>326.77999999999997</v>
      </c>
      <c r="E239" s="119"/>
    </row>
    <row r="240" spans="3:5" x14ac:dyDescent="0.25">
      <c r="C240" s="122" vm="461">
        <f ca="1"/>
        <v>45995</v>
      </c>
      <c r="D240" s="119" vm="462">
        <f ca="1"/>
        <v>328.73</v>
      </c>
      <c r="E240" s="119"/>
    </row>
    <row r="241" spans="3:5" x14ac:dyDescent="0.25">
      <c r="C241" s="122" vm="463">
        <f ca="1"/>
        <v>45996</v>
      </c>
      <c r="D241" s="119" vm="464">
        <f ca="1"/>
        <v>346.26</v>
      </c>
      <c r="E241" s="119"/>
    </row>
    <row r="242" spans="3:5" x14ac:dyDescent="0.25">
      <c r="C242" s="122" vm="465">
        <f ca="1"/>
        <v>45999</v>
      </c>
      <c r="D242" s="119" vm="466">
        <f ca="1"/>
        <v>339.12</v>
      </c>
      <c r="E242" s="119"/>
    </row>
    <row r="243" spans="3:5" x14ac:dyDescent="0.25">
      <c r="C243" s="122" vm="467">
        <f ca="1"/>
        <v>46000</v>
      </c>
      <c r="D243" s="119" vm="468">
        <f ca="1"/>
        <v>344.32</v>
      </c>
      <c r="E243" s="119"/>
    </row>
    <row r="244" spans="3:5" x14ac:dyDescent="0.25">
      <c r="C244" s="122" vm="469">
        <f ca="1"/>
        <v>46001</v>
      </c>
      <c r="D244" s="119" vm="470">
        <f ca="1"/>
        <v>343.13</v>
      </c>
      <c r="E244" s="119"/>
    </row>
    <row r="245" spans="3:5" x14ac:dyDescent="0.25">
      <c r="C245" s="122" vm="471">
        <f ca="1"/>
        <v>46002</v>
      </c>
      <c r="D245" s="119" vm="472">
        <f ca="1"/>
        <v>350.43</v>
      </c>
      <c r="E245" s="119"/>
    </row>
    <row r="246" spans="3:5" x14ac:dyDescent="0.25">
      <c r="C246" s="122" vm="473">
        <f ca="1"/>
        <v>46003</v>
      </c>
      <c r="D246" s="119" vm="474">
        <f ca="1"/>
        <v>356.43</v>
      </c>
      <c r="E246" s="119"/>
    </row>
    <row r="247" spans="3:5" x14ac:dyDescent="0.25">
      <c r="C247" s="122" vm="475">
        <f ca="1"/>
        <v>46006</v>
      </c>
      <c r="D247" s="119" vm="476">
        <f ca="1"/>
        <v>351.15</v>
      </c>
      <c r="E247" s="119"/>
    </row>
    <row r="248" spans="3:5" x14ac:dyDescent="0.25">
      <c r="C248" s="122" vm="477">
        <f ca="1"/>
        <v>46007</v>
      </c>
      <c r="D248" s="119" vm="478">
        <f ca="1"/>
        <v>347.89</v>
      </c>
      <c r="E248" s="119"/>
    </row>
    <row r="249" spans="3:5" x14ac:dyDescent="0.25">
      <c r="C249" s="122" vm="479">
        <f ca="1"/>
        <v>46008</v>
      </c>
      <c r="D249" s="119" vm="480">
        <f ca="1"/>
        <v>354.66</v>
      </c>
      <c r="E249" s="119"/>
    </row>
    <row r="250" spans="3:5" x14ac:dyDescent="0.25">
      <c r="C250" s="122" vm="481">
        <f ca="1"/>
        <v>46009</v>
      </c>
      <c r="D250" s="119" vm="482">
        <f ca="1"/>
        <v>355.81</v>
      </c>
      <c r="E250" s="119"/>
    </row>
    <row r="251" spans="3:5" x14ac:dyDescent="0.25">
      <c r="C251" s="122" vm="483">
        <f ca="1"/>
        <v>46010</v>
      </c>
      <c r="D251" s="119" vm="484">
        <f ca="1"/>
        <v>355.86</v>
      </c>
      <c r="E251" s="119"/>
    </row>
    <row r="252" spans="3:5" x14ac:dyDescent="0.25">
      <c r="C252" s="122" vm="485">
        <f ca="1"/>
        <v>46013</v>
      </c>
      <c r="D252" s="119" vm="486">
        <f ca="1"/>
        <v>357.53</v>
      </c>
      <c r="E252" s="119"/>
    </row>
    <row r="253" spans="3:5" x14ac:dyDescent="0.25">
      <c r="C253" s="122" vm="487">
        <f ca="1"/>
        <v>46014</v>
      </c>
      <c r="D253" s="119" vm="488">
        <f ca="1"/>
        <v>352.42</v>
      </c>
      <c r="E253" s="119"/>
    </row>
    <row r="254" spans="3:5" x14ac:dyDescent="0.25">
      <c r="C254" s="122" vm="489">
        <f ca="1"/>
        <v>46015</v>
      </c>
      <c r="D254" s="119" vm="490">
        <f ca="1"/>
        <v>352.98</v>
      </c>
      <c r="E254" s="119"/>
    </row>
    <row r="255" spans="3:5" x14ac:dyDescent="0.25">
      <c r="C255" s="122" vm="491">
        <f ca="1"/>
        <v>46017</v>
      </c>
      <c r="D255" s="119" vm="492">
        <f ca="1"/>
        <v>353.8</v>
      </c>
      <c r="E255" s="119"/>
    </row>
    <row r="256" spans="3:5" x14ac:dyDescent="0.25">
      <c r="C256" s="122" vm="493">
        <f ca="1"/>
        <v>46020</v>
      </c>
      <c r="D256" s="119" vm="494">
        <f ca="1"/>
        <v>353.16</v>
      </c>
      <c r="E256" s="119"/>
    </row>
    <row r="257" spans="3:5" x14ac:dyDescent="0.25">
      <c r="C257" s="122" vm="495">
        <f ca="1"/>
        <v>46021</v>
      </c>
      <c r="D257" s="119" vm="496">
        <f ca="1"/>
        <v>352.51</v>
      </c>
      <c r="E257" s="119"/>
    </row>
    <row r="258" spans="3:5" x14ac:dyDescent="0.25">
      <c r="C258" s="122" vm="497">
        <f ca="1"/>
        <v>46022</v>
      </c>
      <c r="D258" s="119" vm="498">
        <f ca="1"/>
        <v>349.99</v>
      </c>
      <c r="E258" s="119"/>
    </row>
    <row r="259" spans="3:5" x14ac:dyDescent="0.25">
      <c r="C259" s="214" vm="499">
        <f ca="1"/>
        <v>46024</v>
      </c>
      <c r="D259" s="118" vm="500">
        <f ca="1"/>
        <v>333.3</v>
      </c>
      <c r="E259" s="119"/>
    </row>
    <row r="260" spans="3:5" x14ac:dyDescent="0.25">
      <c r="C260" s="214" vm="501">
        <f ca="1"/>
        <v>46027</v>
      </c>
      <c r="D260" s="118" vm="502">
        <f ca="1"/>
        <v>331.56</v>
      </c>
    </row>
    <row r="261" spans="3:5" x14ac:dyDescent="0.25">
      <c r="C261" s="214" vm="503">
        <f ca="1"/>
        <v>46028</v>
      </c>
      <c r="D261" s="118" vm="504">
        <f ca="1"/>
        <v>335.99</v>
      </c>
    </row>
    <row r="262" spans="3:5" x14ac:dyDescent="0.25">
      <c r="C262" s="214" vm="505">
        <f ca="1"/>
        <v>46029</v>
      </c>
      <c r="D262" s="118" vm="506">
        <f ca="1"/>
        <v>338.1</v>
      </c>
    </row>
    <row r="263" spans="3:5" x14ac:dyDescent="0.25">
      <c r="C263" s="214" vm="507">
        <f ca="1"/>
        <v>46030</v>
      </c>
      <c r="D263" s="118" vm="508">
        <f ca="1"/>
        <v>339.04</v>
      </c>
    </row>
    <row r="264" spans="3:5" x14ac:dyDescent="0.25">
      <c r="C264" s="214" vm="509">
        <f ca="1"/>
        <v>46031</v>
      </c>
      <c r="D264" s="118" vm="510">
        <f ca="1"/>
        <v>333.95</v>
      </c>
    </row>
    <row r="265" spans="3:5" x14ac:dyDescent="0.25">
      <c r="C265" s="214" vm="511">
        <f ca="1"/>
        <v>46034</v>
      </c>
      <c r="D265" s="118" vm="512">
        <f ca="1"/>
        <v>327.64999999999998</v>
      </c>
    </row>
    <row r="266" spans="3:5" x14ac:dyDescent="0.25">
      <c r="C266" s="214" vm="513">
        <f ca="1"/>
        <v>46035</v>
      </c>
      <c r="D266" s="118" vm="514">
        <f ca="1"/>
        <v>309.93</v>
      </c>
    </row>
    <row r="267" spans="3:5" x14ac:dyDescent="0.25">
      <c r="C267" s="214" vm="515">
        <f ca="1"/>
        <v>46036</v>
      </c>
      <c r="D267" s="118" vm="516">
        <f ca="1"/>
        <v>304.44</v>
      </c>
    </row>
    <row r="268" spans="3:5" x14ac:dyDescent="0.25">
      <c r="C268" s="214" vm="517">
        <f ca="1"/>
        <v>46037</v>
      </c>
      <c r="D268" s="118" vm="518">
        <f ca="1"/>
        <v>304.08999999999997</v>
      </c>
    </row>
    <row r="269" spans="3:5" x14ac:dyDescent="0.25">
      <c r="C269" s="214" vm="519">
        <f ca="1"/>
        <v>46038</v>
      </c>
      <c r="D269" s="118" vm="520">
        <f ca="1"/>
        <v>296.12</v>
      </c>
    </row>
    <row r="270" spans="3:5" x14ac:dyDescent="0.25">
      <c r="C270" s="214" vm="521">
        <f ca="1"/>
        <v>46042</v>
      </c>
      <c r="D270" s="118" vm="522">
        <f ca="1"/>
        <v>290.37</v>
      </c>
    </row>
    <row r="271" spans="3:5" x14ac:dyDescent="0.25">
      <c r="C271" s="214" vm="523">
        <f ca="1"/>
        <v>46043</v>
      </c>
      <c r="D271" s="118" vm="524">
        <f ca="1"/>
        <v>294.23</v>
      </c>
    </row>
    <row r="272" spans="3:5" x14ac:dyDescent="0.25">
      <c r="C272" s="214" vm="525">
        <f ca="1"/>
        <v>46044</v>
      </c>
      <c r="D272" s="118" vm="526">
        <f ca="1"/>
        <v>299.73</v>
      </c>
    </row>
    <row r="273" spans="3:4" x14ac:dyDescent="0.25">
      <c r="C273" s="214" vm="527">
        <f ca="1"/>
        <v>46045</v>
      </c>
      <c r="D273" s="118" vm="528">
        <f ca="1"/>
        <v>301.07</v>
      </c>
    </row>
    <row r="274" spans="3:4" x14ac:dyDescent="0.25">
      <c r="C274" s="214" vm="529">
        <f ca="1"/>
        <v>46048</v>
      </c>
      <c r="D274" s="118" vm="530">
        <f ca="1"/>
        <v>304.72000000000003</v>
      </c>
    </row>
    <row r="275" spans="3:4" x14ac:dyDescent="0.25">
      <c r="C275" s="214" vm="531">
        <f ca="1"/>
        <v>46049</v>
      </c>
      <c r="D275" s="118" vm="532">
        <f ca="1"/>
        <v>297.42</v>
      </c>
    </row>
    <row r="276" spans="3:4" x14ac:dyDescent="0.25">
      <c r="C276" s="214" vm="533">
        <f ca="1"/>
        <v>46050</v>
      </c>
      <c r="D276" s="118" vm="534">
        <f ca="1"/>
        <v>299.58</v>
      </c>
    </row>
    <row r="277" spans="3:4" x14ac:dyDescent="0.25">
      <c r="C277" s="214" vm="535">
        <f ca="1"/>
        <v>46051</v>
      </c>
      <c r="D277" s="118" vm="536">
        <f ca="1"/>
        <v>291.64999999999998</v>
      </c>
    </row>
    <row r="278" spans="3:4" x14ac:dyDescent="0.25">
      <c r="C278" s="214" vm="537">
        <f ca="1"/>
        <v>46052</v>
      </c>
      <c r="D278" s="118" vm="538">
        <f ca="1"/>
        <v>293.25</v>
      </c>
    </row>
    <row r="279" spans="3:4" x14ac:dyDescent="0.25">
      <c r="C279" s="214" vm="539">
        <f ca="1"/>
        <v>46055</v>
      </c>
      <c r="D279" s="118" vm="540">
        <f ca="1"/>
        <v>293.38</v>
      </c>
    </row>
    <row r="280" spans="3:4" x14ac:dyDescent="0.25">
      <c r="C280" s="214" vm="541">
        <f ca="1"/>
        <v>46056</v>
      </c>
      <c r="D280" s="118" vm="542">
        <f ca="1"/>
        <v>271.93</v>
      </c>
    </row>
    <row r="281" spans="3:4" x14ac:dyDescent="0.25">
      <c r="C281" s="214" vm="543">
        <f ca="1"/>
        <v>46057</v>
      </c>
      <c r="D281" s="118" vm="544">
        <f ca="1"/>
        <v>279.70999999999998</v>
      </c>
    </row>
    <row r="282" spans="3:4" x14ac:dyDescent="0.25">
      <c r="C282" s="214" vm="545">
        <f ca="1"/>
        <v>46058</v>
      </c>
      <c r="D282" s="118" vm="546">
        <f ca="1"/>
        <v>269.39</v>
      </c>
    </row>
    <row r="283" spans="3:4" x14ac:dyDescent="0.25">
      <c r="C283" s="214" vm="547">
        <f ca="1"/>
        <v>46059</v>
      </c>
      <c r="D283" s="118" vm="548">
        <f ca="1"/>
        <v>268.38</v>
      </c>
    </row>
    <row r="284" spans="3:4" x14ac:dyDescent="0.25">
      <c r="C284" s="214" vm="549">
        <f ca="1"/>
        <v>46062</v>
      </c>
      <c r="D284" s="118" vm="550">
        <f ca="1"/>
        <v>266.89999999999998</v>
      </c>
    </row>
  </sheetData>
  <conditionalFormatting sqref="R9:U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scale="35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030D-1E6B-B244-8B11-9FF5C06DFF6D}">
  <sheetPr>
    <tabColor theme="0" tint="-0.14999847407452621"/>
  </sheetPr>
  <dimension ref="A1:S24"/>
  <sheetViews>
    <sheetView showGridLines="0" zoomScale="125" workbookViewId="0">
      <selection activeCell="D39" sqref="D39"/>
    </sheetView>
  </sheetViews>
  <sheetFormatPr defaultColWidth="11" defaultRowHeight="15.75" x14ac:dyDescent="0.25"/>
  <cols>
    <col min="1" max="2" width="2.875" customWidth="1"/>
    <col min="3" max="3" width="14.625" bestFit="1" customWidth="1"/>
    <col min="4" max="9" width="13.5" bestFit="1" customWidth="1"/>
  </cols>
  <sheetData>
    <row r="1" spans="1:19" s="1" customFormat="1" x14ac:dyDescent="0.25">
      <c r="A1" s="4"/>
    </row>
    <row r="2" spans="1:19" s="1" customFormat="1" x14ac:dyDescent="0.25">
      <c r="A2" s="4"/>
    </row>
    <row r="3" spans="1:19" s="1" customFormat="1" ht="26.25" x14ac:dyDescent="0.4">
      <c r="A3" s="4"/>
      <c r="C3" s="3" t="s">
        <v>130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5"/>
    </row>
    <row r="5" spans="1:19" x14ac:dyDescent="0.25">
      <c r="A5" s="5"/>
    </row>
    <row r="6" spans="1:19" x14ac:dyDescent="0.25">
      <c r="A6" s="5" t="s">
        <v>5</v>
      </c>
      <c r="C6" s="2" t="s">
        <v>125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8" spans="1:19" x14ac:dyDescent="0.25">
      <c r="C8" s="50" t="s">
        <v>132</v>
      </c>
      <c r="D8" s="130" t="s">
        <v>1</v>
      </c>
      <c r="E8" s="130" t="s">
        <v>108</v>
      </c>
      <c r="F8" s="130" t="s">
        <v>109</v>
      </c>
      <c r="G8" s="130" t="s">
        <v>112</v>
      </c>
      <c r="H8" s="130" t="s">
        <v>110</v>
      </c>
      <c r="I8" s="131" t="s">
        <v>131</v>
      </c>
    </row>
    <row r="9" spans="1:19" x14ac:dyDescent="0.25">
      <c r="C9" s="128" t="s">
        <v>123</v>
      </c>
      <c r="D9" s="123">
        <v>319</v>
      </c>
      <c r="E9" s="123">
        <f ca="1">Comps!R32</f>
        <v>196.55539861231239</v>
      </c>
      <c r="F9" s="123">
        <f ca="1">Comps!S32</f>
        <v>742.73699888983913</v>
      </c>
      <c r="G9" s="123">
        <f ca="1">Comps!T32</f>
        <v>165.64219571897877</v>
      </c>
      <c r="H9" s="123">
        <f ca="1">Comps!U32</f>
        <v>1101.204920943268</v>
      </c>
      <c r="I9" s="124">
        <f ca="1">'52 week share price'!G9</f>
        <v>370.36849637681161</v>
      </c>
    </row>
    <row r="10" spans="1:19" x14ac:dyDescent="0.25">
      <c r="C10" s="128" t="s">
        <v>113</v>
      </c>
      <c r="D10" s="123"/>
      <c r="E10" s="123">
        <f ca="1">Comps!R33</f>
        <v>226.48275444690725</v>
      </c>
      <c r="F10" s="123">
        <f ca="1">Comps!S33</f>
        <v>755.3894891740199</v>
      </c>
      <c r="G10" s="123">
        <f ca="1">Comps!T33</f>
        <v>200.93309494065906</v>
      </c>
      <c r="H10" s="123">
        <f ca="1">Comps!U33</f>
        <v>952.78605907032704</v>
      </c>
      <c r="I10" s="124">
        <f ca="1">'52 week share price'!G10</f>
        <v>360.97</v>
      </c>
      <c r="K10" s="123">
        <f ca="1">AVERAGE(D11:D12,F11:F12,H11:I12)</f>
        <v>589.70101923181903</v>
      </c>
    </row>
    <row r="11" spans="1:19" x14ac:dyDescent="0.25">
      <c r="C11" s="128" t="s">
        <v>114</v>
      </c>
      <c r="D11" s="123">
        <v>209</v>
      </c>
      <c r="E11" s="123">
        <f ca="1">Comps!R34</f>
        <v>86.225114533003151</v>
      </c>
      <c r="F11" s="123">
        <f ca="1">Comps!S34</f>
        <v>580.32844139715485</v>
      </c>
      <c r="G11" s="123">
        <f ca="1">Comps!T34</f>
        <v>55.200306792297624</v>
      </c>
      <c r="H11" s="123">
        <f ca="1">Comps!U34</f>
        <v>797.66146747751634</v>
      </c>
      <c r="I11" s="124">
        <f ca="1">'52 week share price'!G11</f>
        <v>343.35500000000002</v>
      </c>
    </row>
    <row r="12" spans="1:19" x14ac:dyDescent="0.25">
      <c r="C12" s="129" t="s">
        <v>115</v>
      </c>
      <c r="D12" s="125">
        <v>443</v>
      </c>
      <c r="E12" s="125">
        <f ca="1">Comps!R35</f>
        <v>292.76776317359207</v>
      </c>
      <c r="F12" s="125">
        <f ca="1">Comps!S35</f>
        <v>972.28679439833331</v>
      </c>
      <c r="G12" s="125">
        <f ca="1">Comps!T35</f>
        <v>220.71046325615609</v>
      </c>
      <c r="H12" s="125">
        <f ca="1">Comps!U35</f>
        <v>971.941450581548</v>
      </c>
      <c r="I12" s="126">
        <f ca="1">'52 week share price'!G12</f>
        <v>400.03500000000003</v>
      </c>
    </row>
    <row r="14" spans="1:19" x14ac:dyDescent="0.25">
      <c r="A14" s="5" t="s">
        <v>5</v>
      </c>
      <c r="C14" s="2" t="s">
        <v>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6" spans="1:19" x14ac:dyDescent="0.25">
      <c r="C16" s="127" t="s">
        <v>138</v>
      </c>
      <c r="D16" s="139" t="s">
        <v>139</v>
      </c>
      <c r="E16" s="139" t="s">
        <v>140</v>
      </c>
      <c r="F16" s="140" t="s">
        <v>141</v>
      </c>
    </row>
    <row r="17" spans="1:6" x14ac:dyDescent="0.25">
      <c r="C17" s="65" t="str" cm="1">
        <f t="array" ref="C17:C22">TRANSPOSE(D8:I8)</f>
        <v>DCF</v>
      </c>
      <c r="D17" s="123">
        <f>D11</f>
        <v>209</v>
      </c>
      <c r="E17" s="141">
        <f>F17-D17</f>
        <v>234</v>
      </c>
      <c r="F17" s="124">
        <f>D12</f>
        <v>443</v>
      </c>
    </row>
    <row r="18" spans="1:6" x14ac:dyDescent="0.25">
      <c r="C18" s="65" t="str">
        <v>EV / Revenue</v>
      </c>
      <c r="D18" s="123">
        <f ca="1">E11</f>
        <v>86.225114533003151</v>
      </c>
      <c r="E18" s="141">
        <f t="shared" ref="E18:E22" ca="1" si="0">F18-D18</f>
        <v>206.54264864058894</v>
      </c>
      <c r="F18" s="124">
        <f ca="1">E12</f>
        <v>292.76776317359207</v>
      </c>
    </row>
    <row r="19" spans="1:6" x14ac:dyDescent="0.25">
      <c r="C19" s="65" t="str">
        <v>EV / EBITDA</v>
      </c>
      <c r="D19" s="123">
        <f ca="1">F11</f>
        <v>580.32844139715485</v>
      </c>
      <c r="E19" s="141">
        <f t="shared" ca="1" si="0"/>
        <v>391.95835300117847</v>
      </c>
      <c r="F19" s="124">
        <f ca="1">F12</f>
        <v>972.28679439833331</v>
      </c>
    </row>
    <row r="20" spans="1:6" x14ac:dyDescent="0.25">
      <c r="C20" s="65" t="str">
        <v>P / Sales</v>
      </c>
      <c r="D20" s="123">
        <f ca="1">G11</f>
        <v>55.200306792297624</v>
      </c>
      <c r="E20" s="141">
        <f t="shared" ca="1" si="0"/>
        <v>165.51015646385846</v>
      </c>
      <c r="F20" s="124">
        <f ca="1">G12</f>
        <v>220.71046325615609</v>
      </c>
    </row>
    <row r="21" spans="1:6" x14ac:dyDescent="0.25">
      <c r="C21" s="65" t="str">
        <v>P / E</v>
      </c>
      <c r="D21" s="123">
        <f ca="1">H11</f>
        <v>797.66146747751634</v>
      </c>
      <c r="E21" s="141">
        <f t="shared" ca="1" si="0"/>
        <v>174.27998310403166</v>
      </c>
      <c r="F21" s="124">
        <f ca="1">H12</f>
        <v>971.941450581548</v>
      </c>
    </row>
    <row r="22" spans="1:6" x14ac:dyDescent="0.25">
      <c r="C22" s="142" t="str">
        <v>52-wk Range</v>
      </c>
      <c r="D22" s="125">
        <f ca="1">I11</f>
        <v>343.35500000000002</v>
      </c>
      <c r="E22" s="143">
        <f t="shared" ca="1" si="0"/>
        <v>56.680000000000007</v>
      </c>
      <c r="F22" s="126">
        <f ca="1">I12</f>
        <v>400.03500000000003</v>
      </c>
    </row>
    <row r="24" spans="1:6" x14ac:dyDescent="0.25">
      <c r="A24" s="5" t="s">
        <v>5</v>
      </c>
      <c r="C24" t="s">
        <v>10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7A3B-A39D-460A-AB73-DBB9B463F6F8}">
  <sheetPr>
    <outlinePr summaryBelow="0" summaryRight="0"/>
  </sheetPr>
  <dimension ref="A1:AA1001"/>
  <sheetViews>
    <sheetView showGridLines="0" workbookViewId="0">
      <selection activeCell="B3" sqref="B3:B13"/>
    </sheetView>
  </sheetViews>
  <sheetFormatPr defaultColWidth="10.875" defaultRowHeight="15" customHeight="1" x14ac:dyDescent="0.25"/>
  <cols>
    <col min="1" max="1" width="10.875" style="215"/>
    <col min="2" max="2" width="14.75" style="215" customWidth="1"/>
    <col min="3" max="11" width="7.25" style="215" customWidth="1"/>
    <col min="12" max="16384" width="10.875" style="215"/>
  </cols>
  <sheetData>
    <row r="1" spans="1:27" x14ac:dyDescent="0.25">
      <c r="A1" s="216"/>
      <c r="B1" s="216"/>
      <c r="C1" s="217"/>
      <c r="D1" s="217"/>
      <c r="E1" s="217"/>
      <c r="F1" s="217"/>
      <c r="G1" s="217"/>
      <c r="H1" s="217"/>
      <c r="I1" s="217"/>
      <c r="J1" s="217"/>
      <c r="K1" s="217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</row>
    <row r="2" spans="1:27" x14ac:dyDescent="0.25">
      <c r="A2" s="216"/>
      <c r="B2" s="218"/>
      <c r="C2" s="219" t="str">
        <f>[1]Model!L2</f>
        <v>FY2022</v>
      </c>
      <c r="D2" s="219" t="str">
        <f>[1]Model!M2</f>
        <v>FY2023</v>
      </c>
      <c r="E2" s="219" t="str">
        <f>[1]Model!N2</f>
        <v>FY2024</v>
      </c>
      <c r="F2" s="220" t="str">
        <f>[1]Model!O2</f>
        <v>FY2025</v>
      </c>
      <c r="G2" s="221" t="str">
        <f>[1]Model!P2</f>
        <v>FY2026</v>
      </c>
      <c r="H2" s="219" t="str">
        <f>[1]Model!Q2</f>
        <v>FY2027</v>
      </c>
      <c r="I2" s="219" t="str">
        <f>[1]Model!R2</f>
        <v>FY2028</v>
      </c>
      <c r="J2" s="219" t="str">
        <f>[1]Model!S2</f>
        <v>FY2029</v>
      </c>
      <c r="K2" s="220" t="str">
        <f>[1]Model!T2</f>
        <v>FY2030</v>
      </c>
      <c r="L2" s="222"/>
      <c r="M2" s="222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</row>
    <row r="3" spans="1:27" x14ac:dyDescent="0.25">
      <c r="A3" s="223"/>
      <c r="B3" s="224" t="s">
        <v>25</v>
      </c>
      <c r="C3" s="225">
        <f>[1]Model!L4</f>
        <v>0</v>
      </c>
      <c r="D3" s="225">
        <f>[1]Model!M4</f>
        <v>0</v>
      </c>
      <c r="E3" s="225">
        <f>[1]Model!N4</f>
        <v>0</v>
      </c>
      <c r="F3" s="226">
        <f>[1]Model!O4</f>
        <v>0</v>
      </c>
      <c r="G3" s="227">
        <f>[1]Model!P4</f>
        <v>0</v>
      </c>
      <c r="H3" s="225">
        <f>[1]Model!Q4</f>
        <v>0</v>
      </c>
      <c r="I3" s="225">
        <f>[1]Model!R4</f>
        <v>0</v>
      </c>
      <c r="J3" s="225">
        <f>[1]Model!S4</f>
        <v>0</v>
      </c>
      <c r="K3" s="226">
        <f>[1]Model!T4</f>
        <v>0</v>
      </c>
      <c r="L3" s="222"/>
      <c r="M3" s="222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</row>
    <row r="4" spans="1:27" x14ac:dyDescent="0.25">
      <c r="A4" s="228"/>
      <c r="B4" s="229" t="s">
        <v>251</v>
      </c>
      <c r="C4" s="230"/>
      <c r="D4" s="231" t="e">
        <f>#REF!</f>
        <v>#REF!</v>
      </c>
      <c r="E4" s="231" t="e">
        <f>#REF!</f>
        <v>#REF!</v>
      </c>
      <c r="F4" s="232" t="e">
        <f>#REF!</f>
        <v>#REF!</v>
      </c>
      <c r="G4" s="233" t="e">
        <f>#REF!</f>
        <v>#REF!</v>
      </c>
      <c r="H4" s="231" t="e">
        <f>#REF!</f>
        <v>#REF!</v>
      </c>
      <c r="I4" s="231" t="e">
        <f>#REF!</f>
        <v>#REF!</v>
      </c>
      <c r="J4" s="231" t="e">
        <f>#REF!</f>
        <v>#REF!</v>
      </c>
      <c r="K4" s="232" t="e">
        <f>#REF!</f>
        <v>#REF!</v>
      </c>
      <c r="L4" s="222"/>
      <c r="M4" s="222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</row>
    <row r="5" spans="1:27" x14ac:dyDescent="0.25">
      <c r="A5" s="216"/>
      <c r="B5" s="234"/>
      <c r="C5" s="235"/>
      <c r="D5" s="235"/>
      <c r="E5" s="235"/>
      <c r="F5" s="236"/>
      <c r="G5" s="237"/>
      <c r="H5" s="235"/>
      <c r="I5" s="235"/>
      <c r="J5" s="235"/>
      <c r="K5" s="236"/>
      <c r="L5" s="222"/>
      <c r="M5" s="222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</row>
    <row r="6" spans="1:27" x14ac:dyDescent="0.25">
      <c r="A6" s="223"/>
      <c r="B6" s="224" t="s">
        <v>256</v>
      </c>
      <c r="C6" s="225">
        <f>[1]Model!L6</f>
        <v>0</v>
      </c>
      <c r="D6" s="225">
        <f>[1]Model!M6</f>
        <v>0</v>
      </c>
      <c r="E6" s="225">
        <f>[1]Model!N6</f>
        <v>0</v>
      </c>
      <c r="F6" s="226">
        <f>[1]Model!O6</f>
        <v>0</v>
      </c>
      <c r="G6" s="227">
        <f>[1]Model!P6</f>
        <v>0</v>
      </c>
      <c r="H6" s="225">
        <f>[1]Model!Q6</f>
        <v>0</v>
      </c>
      <c r="I6" s="225">
        <f>[1]Model!R6</f>
        <v>0</v>
      </c>
      <c r="J6" s="225">
        <f>[1]Model!S6</f>
        <v>0</v>
      </c>
      <c r="K6" s="226">
        <f>[1]Model!T6</f>
        <v>0</v>
      </c>
      <c r="L6" s="222"/>
      <c r="M6" s="222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</row>
    <row r="7" spans="1:27" x14ac:dyDescent="0.25">
      <c r="A7" s="228"/>
      <c r="B7" s="229" t="s">
        <v>252</v>
      </c>
      <c r="C7" s="238" t="e">
        <f t="shared" ref="C7:K7" si="0">C6/C3</f>
        <v>#DIV/0!</v>
      </c>
      <c r="D7" s="238" t="e">
        <f t="shared" si="0"/>
        <v>#DIV/0!</v>
      </c>
      <c r="E7" s="238" t="e">
        <f t="shared" si="0"/>
        <v>#DIV/0!</v>
      </c>
      <c r="F7" s="239" t="e">
        <f t="shared" si="0"/>
        <v>#DIV/0!</v>
      </c>
      <c r="G7" s="240" t="e">
        <f t="shared" si="0"/>
        <v>#DIV/0!</v>
      </c>
      <c r="H7" s="238" t="e">
        <f t="shared" si="0"/>
        <v>#DIV/0!</v>
      </c>
      <c r="I7" s="238" t="e">
        <f t="shared" si="0"/>
        <v>#DIV/0!</v>
      </c>
      <c r="J7" s="238" t="e">
        <f t="shared" si="0"/>
        <v>#DIV/0!</v>
      </c>
      <c r="K7" s="239" t="e">
        <f t="shared" si="0"/>
        <v>#DIV/0!</v>
      </c>
      <c r="L7" s="222"/>
      <c r="M7" s="222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</row>
    <row r="8" spans="1:27" x14ac:dyDescent="0.25">
      <c r="A8" s="216"/>
      <c r="B8" s="234"/>
      <c r="C8" s="235"/>
      <c r="D8" s="235"/>
      <c r="E8" s="235"/>
      <c r="F8" s="236"/>
      <c r="G8" s="237"/>
      <c r="H8" s="235"/>
      <c r="I8" s="235"/>
      <c r="J8" s="235"/>
      <c r="K8" s="236"/>
      <c r="L8" s="222"/>
      <c r="M8" s="222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</row>
    <row r="9" spans="1:27" x14ac:dyDescent="0.25">
      <c r="A9" s="223"/>
      <c r="B9" s="224" t="s">
        <v>257</v>
      </c>
      <c r="C9" s="225">
        <f>[1]Model!L8</f>
        <v>0</v>
      </c>
      <c r="D9" s="225">
        <f>[1]Model!M8</f>
        <v>0</v>
      </c>
      <c r="E9" s="225">
        <f>[1]Model!N8</f>
        <v>0</v>
      </c>
      <c r="F9" s="226">
        <f>[1]Model!O8</f>
        <v>0</v>
      </c>
      <c r="G9" s="227">
        <f>[1]Model!P8</f>
        <v>0</v>
      </c>
      <c r="H9" s="225">
        <f>[1]Model!Q8</f>
        <v>0</v>
      </c>
      <c r="I9" s="225">
        <f>[1]Model!R8</f>
        <v>0</v>
      </c>
      <c r="J9" s="225">
        <f>[1]Model!S8</f>
        <v>0</v>
      </c>
      <c r="K9" s="226">
        <f>[1]Model!T8</f>
        <v>0</v>
      </c>
      <c r="L9" s="222"/>
      <c r="M9" s="222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</row>
    <row r="10" spans="1:27" x14ac:dyDescent="0.25">
      <c r="A10" s="228"/>
      <c r="B10" s="229" t="s">
        <v>252</v>
      </c>
      <c r="C10" s="238" t="e">
        <f t="shared" ref="C10:K10" si="1">C9/C3</f>
        <v>#DIV/0!</v>
      </c>
      <c r="D10" s="238" t="e">
        <f t="shared" si="1"/>
        <v>#DIV/0!</v>
      </c>
      <c r="E10" s="238" t="e">
        <f t="shared" si="1"/>
        <v>#DIV/0!</v>
      </c>
      <c r="F10" s="239" t="e">
        <f t="shared" si="1"/>
        <v>#DIV/0!</v>
      </c>
      <c r="G10" s="240" t="e">
        <f t="shared" si="1"/>
        <v>#DIV/0!</v>
      </c>
      <c r="H10" s="238" t="e">
        <f t="shared" si="1"/>
        <v>#DIV/0!</v>
      </c>
      <c r="I10" s="238" t="e">
        <f t="shared" si="1"/>
        <v>#DIV/0!</v>
      </c>
      <c r="J10" s="238" t="e">
        <f t="shared" si="1"/>
        <v>#DIV/0!</v>
      </c>
      <c r="K10" s="239" t="e">
        <f t="shared" si="1"/>
        <v>#DIV/0!</v>
      </c>
      <c r="L10" s="222"/>
      <c r="M10" s="222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</row>
    <row r="11" spans="1:27" x14ac:dyDescent="0.25">
      <c r="A11" s="216"/>
      <c r="B11" s="234"/>
      <c r="C11" s="235"/>
      <c r="D11" s="235"/>
      <c r="E11" s="235"/>
      <c r="F11" s="236"/>
      <c r="G11" s="237"/>
      <c r="H11" s="235"/>
      <c r="I11" s="235"/>
      <c r="J11" s="235"/>
      <c r="K11" s="236"/>
      <c r="L11" s="222"/>
      <c r="M11" s="222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</row>
    <row r="12" spans="1:27" x14ac:dyDescent="0.25">
      <c r="A12" s="223"/>
      <c r="B12" s="224" t="s">
        <v>23</v>
      </c>
      <c r="C12" s="225">
        <f>[1]Model!L53</f>
        <v>0</v>
      </c>
      <c r="D12" s="225">
        <f>[1]Model!M53</f>
        <v>0</v>
      </c>
      <c r="E12" s="225">
        <f>[1]Model!N53</f>
        <v>0</v>
      </c>
      <c r="F12" s="226">
        <f>[1]Model!O53</f>
        <v>0</v>
      </c>
      <c r="G12" s="227">
        <f>[1]Model!P53</f>
        <v>0</v>
      </c>
      <c r="H12" s="225">
        <f>[1]Model!Q53</f>
        <v>0</v>
      </c>
      <c r="I12" s="225">
        <f>[1]Model!R53</f>
        <v>0</v>
      </c>
      <c r="J12" s="225">
        <f>[1]Model!S53</f>
        <v>0</v>
      </c>
      <c r="K12" s="226">
        <f>[1]Model!T53</f>
        <v>0</v>
      </c>
      <c r="L12" s="222"/>
      <c r="M12" s="222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</row>
    <row r="13" spans="1:27" x14ac:dyDescent="0.25">
      <c r="A13" s="228"/>
      <c r="B13" s="229" t="s">
        <v>252</v>
      </c>
      <c r="C13" s="238" t="e">
        <f t="shared" ref="C13:K13" si="2">C12/C3</f>
        <v>#DIV/0!</v>
      </c>
      <c r="D13" s="238" t="e">
        <f t="shared" si="2"/>
        <v>#DIV/0!</v>
      </c>
      <c r="E13" s="238" t="e">
        <f t="shared" si="2"/>
        <v>#DIV/0!</v>
      </c>
      <c r="F13" s="239" t="e">
        <f t="shared" si="2"/>
        <v>#DIV/0!</v>
      </c>
      <c r="G13" s="240" t="e">
        <f t="shared" si="2"/>
        <v>#DIV/0!</v>
      </c>
      <c r="H13" s="238" t="e">
        <f t="shared" si="2"/>
        <v>#DIV/0!</v>
      </c>
      <c r="I13" s="238" t="e">
        <f t="shared" si="2"/>
        <v>#DIV/0!</v>
      </c>
      <c r="J13" s="238" t="e">
        <f t="shared" si="2"/>
        <v>#DIV/0!</v>
      </c>
      <c r="K13" s="239" t="e">
        <f t="shared" si="2"/>
        <v>#DIV/0!</v>
      </c>
      <c r="L13" s="222"/>
      <c r="M13" s="222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</row>
    <row r="14" spans="1:27" x14ac:dyDescent="0.25">
      <c r="A14" s="216"/>
      <c r="B14" s="234"/>
      <c r="C14" s="235"/>
      <c r="D14" s="235"/>
      <c r="E14" s="235"/>
      <c r="F14" s="236"/>
      <c r="G14" s="237"/>
      <c r="H14" s="235"/>
      <c r="I14" s="235"/>
      <c r="J14" s="235"/>
      <c r="K14" s="236"/>
      <c r="L14" s="222"/>
      <c r="M14" s="222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</row>
    <row r="15" spans="1:27" x14ac:dyDescent="0.25">
      <c r="A15" s="223"/>
      <c r="B15" s="224" t="s">
        <v>32</v>
      </c>
      <c r="C15" s="225">
        <f>[1]Model!L51</f>
        <v>0</v>
      </c>
      <c r="D15" s="225">
        <f>[1]Model!M51</f>
        <v>0</v>
      </c>
      <c r="E15" s="225">
        <f>[1]Model!N51</f>
        <v>0</v>
      </c>
      <c r="F15" s="226">
        <f>[1]Model!O51</f>
        <v>0</v>
      </c>
      <c r="G15" s="227">
        <f>[1]Model!P51</f>
        <v>0</v>
      </c>
      <c r="H15" s="225">
        <f>[1]Model!Q51</f>
        <v>0</v>
      </c>
      <c r="I15" s="225">
        <f>[1]Model!R51</f>
        <v>0</v>
      </c>
      <c r="J15" s="225">
        <f>[1]Model!S51</f>
        <v>0</v>
      </c>
      <c r="K15" s="226">
        <f>[1]Model!T51</f>
        <v>0</v>
      </c>
      <c r="L15" s="222"/>
      <c r="M15" s="222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</row>
    <row r="16" spans="1:27" x14ac:dyDescent="0.25">
      <c r="A16" s="228"/>
      <c r="B16" s="229" t="s">
        <v>252</v>
      </c>
      <c r="C16" s="238" t="e">
        <f t="shared" ref="C16:K16" si="3">C15/C3</f>
        <v>#DIV/0!</v>
      </c>
      <c r="D16" s="238" t="e">
        <f t="shared" si="3"/>
        <v>#DIV/0!</v>
      </c>
      <c r="E16" s="238" t="e">
        <f t="shared" si="3"/>
        <v>#DIV/0!</v>
      </c>
      <c r="F16" s="239" t="e">
        <f t="shared" si="3"/>
        <v>#DIV/0!</v>
      </c>
      <c r="G16" s="240" t="e">
        <f t="shared" si="3"/>
        <v>#DIV/0!</v>
      </c>
      <c r="H16" s="238" t="e">
        <f t="shared" si="3"/>
        <v>#DIV/0!</v>
      </c>
      <c r="I16" s="238" t="e">
        <f t="shared" si="3"/>
        <v>#DIV/0!</v>
      </c>
      <c r="J16" s="238" t="e">
        <f t="shared" si="3"/>
        <v>#DIV/0!</v>
      </c>
      <c r="K16" s="239" t="e">
        <f t="shared" si="3"/>
        <v>#DIV/0!</v>
      </c>
      <c r="L16" s="222"/>
      <c r="M16" s="222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</row>
    <row r="17" spans="1:27" x14ac:dyDescent="0.25">
      <c r="A17" s="241"/>
      <c r="B17" s="242"/>
      <c r="C17" s="230"/>
      <c r="D17" s="230"/>
      <c r="E17" s="230"/>
      <c r="F17" s="243"/>
      <c r="G17" s="242"/>
      <c r="H17" s="230"/>
      <c r="I17" s="230"/>
      <c r="J17" s="230"/>
      <c r="K17" s="243"/>
      <c r="L17" s="222"/>
      <c r="M17" s="222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</row>
    <row r="18" spans="1:27" x14ac:dyDescent="0.25">
      <c r="A18" s="223"/>
      <c r="B18" s="224" t="s">
        <v>258</v>
      </c>
      <c r="C18" s="225">
        <f>[1]Model!L50</f>
        <v>0</v>
      </c>
      <c r="D18" s="225">
        <f>[1]Model!M50</f>
        <v>0</v>
      </c>
      <c r="E18" s="225">
        <f>[1]Model!N50</f>
        <v>0</v>
      </c>
      <c r="F18" s="226">
        <f>[1]Model!O50</f>
        <v>0</v>
      </c>
      <c r="G18" s="227">
        <f>[1]Model!P50</f>
        <v>0</v>
      </c>
      <c r="H18" s="225">
        <f>[1]Model!Q50</f>
        <v>0</v>
      </c>
      <c r="I18" s="225">
        <f>[1]Model!R50</f>
        <v>0</v>
      </c>
      <c r="J18" s="225">
        <f>[1]Model!S50</f>
        <v>0</v>
      </c>
      <c r="K18" s="226">
        <f>[1]Model!T50</f>
        <v>0</v>
      </c>
      <c r="L18" s="222"/>
      <c r="M18" s="222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</row>
    <row r="19" spans="1:27" x14ac:dyDescent="0.25">
      <c r="A19" s="228"/>
      <c r="B19" s="229" t="s">
        <v>252</v>
      </c>
      <c r="C19" s="238" t="e">
        <f t="shared" ref="C19:K19" si="4">C18/C3</f>
        <v>#DIV/0!</v>
      </c>
      <c r="D19" s="238" t="e">
        <f t="shared" si="4"/>
        <v>#DIV/0!</v>
      </c>
      <c r="E19" s="238" t="e">
        <f t="shared" si="4"/>
        <v>#DIV/0!</v>
      </c>
      <c r="F19" s="239" t="e">
        <f t="shared" si="4"/>
        <v>#DIV/0!</v>
      </c>
      <c r="G19" s="240" t="e">
        <f t="shared" si="4"/>
        <v>#DIV/0!</v>
      </c>
      <c r="H19" s="238" t="e">
        <f t="shared" si="4"/>
        <v>#DIV/0!</v>
      </c>
      <c r="I19" s="238" t="e">
        <f t="shared" si="4"/>
        <v>#DIV/0!</v>
      </c>
      <c r="J19" s="238" t="e">
        <f t="shared" si="4"/>
        <v>#DIV/0!</v>
      </c>
      <c r="K19" s="239" t="e">
        <f t="shared" si="4"/>
        <v>#DIV/0!</v>
      </c>
      <c r="L19" s="222"/>
      <c r="M19" s="222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</row>
    <row r="20" spans="1:27" x14ac:dyDescent="0.25">
      <c r="A20" s="216"/>
      <c r="B20" s="234"/>
      <c r="C20" s="235"/>
      <c r="D20" s="235"/>
      <c r="E20" s="235"/>
      <c r="F20" s="236"/>
      <c r="G20" s="237"/>
      <c r="H20" s="235"/>
      <c r="I20" s="235"/>
      <c r="J20" s="235"/>
      <c r="K20" s="236"/>
      <c r="L20" s="222"/>
      <c r="M20" s="222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</row>
    <row r="21" spans="1:27" x14ac:dyDescent="0.25">
      <c r="A21" s="223"/>
      <c r="B21" s="224" t="s">
        <v>259</v>
      </c>
      <c r="C21" s="225">
        <f>[1]Model!L12</f>
        <v>0</v>
      </c>
      <c r="D21" s="225">
        <f>[1]Model!M12</f>
        <v>0</v>
      </c>
      <c r="E21" s="225">
        <f>[1]Model!N12</f>
        <v>0</v>
      </c>
      <c r="F21" s="226">
        <f>[1]Model!O12</f>
        <v>0</v>
      </c>
      <c r="G21" s="227">
        <f>[1]Model!P12</f>
        <v>0</v>
      </c>
      <c r="H21" s="225">
        <f>[1]Model!Q12</f>
        <v>0</v>
      </c>
      <c r="I21" s="225">
        <f>[1]Model!R12</f>
        <v>0</v>
      </c>
      <c r="J21" s="225">
        <f>[1]Model!S12</f>
        <v>0</v>
      </c>
      <c r="K21" s="226">
        <f>[1]Model!T12</f>
        <v>0</v>
      </c>
      <c r="L21" s="222"/>
      <c r="M21" s="222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</row>
    <row r="22" spans="1:27" x14ac:dyDescent="0.25">
      <c r="A22" s="223"/>
      <c r="B22" s="224" t="s">
        <v>260</v>
      </c>
      <c r="C22" s="225">
        <f>[1]Model!L15</f>
        <v>0</v>
      </c>
      <c r="D22" s="225">
        <f>[1]Model!M15</f>
        <v>0</v>
      </c>
      <c r="E22" s="225">
        <f>[1]Model!N15</f>
        <v>0</v>
      </c>
      <c r="F22" s="226">
        <f>[1]Model!O15</f>
        <v>0</v>
      </c>
      <c r="G22" s="227">
        <f>[1]Model!P15</f>
        <v>0</v>
      </c>
      <c r="H22" s="225">
        <f>[1]Model!Q15</f>
        <v>0</v>
      </c>
      <c r="I22" s="225">
        <f>[1]Model!R15</f>
        <v>0</v>
      </c>
      <c r="J22" s="225">
        <f>[1]Model!S15</f>
        <v>0</v>
      </c>
      <c r="K22" s="226">
        <f>[1]Model!T15</f>
        <v>0</v>
      </c>
      <c r="L22" s="222"/>
      <c r="M22" s="222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</row>
    <row r="23" spans="1:27" x14ac:dyDescent="0.25">
      <c r="A23" s="216"/>
      <c r="B23" s="234"/>
      <c r="C23" s="235"/>
      <c r="D23" s="235"/>
      <c r="E23" s="235"/>
      <c r="F23" s="236"/>
      <c r="G23" s="237"/>
      <c r="H23" s="235"/>
      <c r="I23" s="235"/>
      <c r="J23" s="235"/>
      <c r="K23" s="236"/>
      <c r="L23" s="222"/>
      <c r="M23" s="222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</row>
    <row r="24" spans="1:27" x14ac:dyDescent="0.25">
      <c r="A24" s="223"/>
      <c r="B24" s="224" t="s">
        <v>253</v>
      </c>
      <c r="C24" s="225">
        <f>[1]Model!L16</f>
        <v>0</v>
      </c>
      <c r="D24" s="225">
        <f>[1]Model!M16</f>
        <v>0</v>
      </c>
      <c r="E24" s="225">
        <f>[1]Model!N16</f>
        <v>0</v>
      </c>
      <c r="F24" s="226">
        <f>[1]Model!O16</f>
        <v>0</v>
      </c>
      <c r="G24" s="227">
        <f>[1]Model!P16</f>
        <v>0</v>
      </c>
      <c r="H24" s="225">
        <f>[1]Model!Q16</f>
        <v>0</v>
      </c>
      <c r="I24" s="225">
        <f>[1]Model!R16</f>
        <v>0</v>
      </c>
      <c r="J24" s="225">
        <f>[1]Model!S16</f>
        <v>0</v>
      </c>
      <c r="K24" s="226">
        <f>[1]Model!T16</f>
        <v>0</v>
      </c>
      <c r="L24" s="222"/>
      <c r="M24" s="222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</row>
    <row r="25" spans="1:27" x14ac:dyDescent="0.25">
      <c r="A25" s="223"/>
      <c r="B25" s="224" t="s">
        <v>22</v>
      </c>
      <c r="C25" s="225">
        <f>[1]Model!L18</f>
        <v>0</v>
      </c>
      <c r="D25" s="225">
        <f>[1]Model!M18</f>
        <v>0</v>
      </c>
      <c r="E25" s="225">
        <f>[1]Model!N18</f>
        <v>0</v>
      </c>
      <c r="F25" s="226">
        <f>[1]Model!O18</f>
        <v>0</v>
      </c>
      <c r="G25" s="227">
        <f>[1]Model!P18</f>
        <v>0</v>
      </c>
      <c r="H25" s="225">
        <f>[1]Model!Q18</f>
        <v>0</v>
      </c>
      <c r="I25" s="225">
        <f>[1]Model!R18</f>
        <v>0</v>
      </c>
      <c r="J25" s="225">
        <f>[1]Model!S18</f>
        <v>0</v>
      </c>
      <c r="K25" s="226">
        <f>[1]Model!T18</f>
        <v>0</v>
      </c>
      <c r="L25" s="222"/>
      <c r="M25" s="222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</row>
    <row r="26" spans="1:27" x14ac:dyDescent="0.25">
      <c r="A26" s="216"/>
      <c r="B26" s="234"/>
      <c r="C26" s="244"/>
      <c r="D26" s="244"/>
      <c r="E26" s="244"/>
      <c r="F26" s="245"/>
      <c r="G26" s="234"/>
      <c r="H26" s="244"/>
      <c r="I26" s="244"/>
      <c r="J26" s="244"/>
      <c r="K26" s="245"/>
      <c r="L26" s="222"/>
      <c r="M26" s="222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</row>
    <row r="27" spans="1:27" x14ac:dyDescent="0.25">
      <c r="A27" s="223"/>
      <c r="B27" s="224" t="s">
        <v>261</v>
      </c>
      <c r="C27" s="246">
        <f>[1]Model!L26</f>
        <v>0</v>
      </c>
      <c r="D27" s="246">
        <f>[1]Model!M26</f>
        <v>0</v>
      </c>
      <c r="E27" s="246">
        <f>[1]Model!N26</f>
        <v>0</v>
      </c>
      <c r="F27" s="247">
        <f>[1]Model!O26</f>
        <v>0</v>
      </c>
      <c r="G27" s="248">
        <f>[1]Model!P26</f>
        <v>0</v>
      </c>
      <c r="H27" s="246">
        <f>[1]Model!Q26</f>
        <v>0</v>
      </c>
      <c r="I27" s="246">
        <f>[1]Model!R26</f>
        <v>0</v>
      </c>
      <c r="J27" s="246">
        <f>[1]Model!S26</f>
        <v>0</v>
      </c>
      <c r="K27" s="247">
        <f>[1]Model!T26</f>
        <v>0</v>
      </c>
      <c r="L27" s="222"/>
      <c r="M27" s="222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</row>
    <row r="28" spans="1:27" x14ac:dyDescent="0.25">
      <c r="A28" s="223"/>
      <c r="B28" s="224" t="s">
        <v>262</v>
      </c>
      <c r="C28" s="249">
        <f>[1]Model!L22</f>
        <v>0</v>
      </c>
      <c r="D28" s="249">
        <f>[1]Model!M22</f>
        <v>0</v>
      </c>
      <c r="E28" s="249">
        <f>[1]Model!N22</f>
        <v>0</v>
      </c>
      <c r="F28" s="250">
        <f>[1]Model!O22</f>
        <v>0</v>
      </c>
      <c r="G28" s="251">
        <f>[1]Model!P22</f>
        <v>0</v>
      </c>
      <c r="H28" s="249">
        <f>[1]Model!Q22</f>
        <v>0</v>
      </c>
      <c r="I28" s="249">
        <f>[1]Model!R22</f>
        <v>0</v>
      </c>
      <c r="J28" s="249">
        <f>[1]Model!S22</f>
        <v>0</v>
      </c>
      <c r="K28" s="250">
        <f>[1]Model!T22</f>
        <v>0</v>
      </c>
      <c r="L28" s="222"/>
      <c r="M28" s="222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</row>
    <row r="29" spans="1:27" x14ac:dyDescent="0.25">
      <c r="A29" s="216"/>
      <c r="B29" s="234"/>
      <c r="C29" s="235"/>
      <c r="D29" s="235"/>
      <c r="E29" s="235"/>
      <c r="F29" s="236"/>
      <c r="G29" s="237"/>
      <c r="H29" s="235"/>
      <c r="I29" s="235"/>
      <c r="J29" s="235"/>
      <c r="K29" s="236"/>
      <c r="L29" s="222"/>
      <c r="M29" s="222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</row>
    <row r="30" spans="1:27" x14ac:dyDescent="0.25">
      <c r="A30" s="223"/>
      <c r="B30" s="224" t="s">
        <v>263</v>
      </c>
      <c r="C30" s="225">
        <f>[1]Model!L211</f>
        <v>0</v>
      </c>
      <c r="D30" s="225">
        <f>[1]Model!M211</f>
        <v>0</v>
      </c>
      <c r="E30" s="225">
        <f>[1]Model!N211</f>
        <v>0</v>
      </c>
      <c r="F30" s="226">
        <f>[1]Model!O211</f>
        <v>0</v>
      </c>
      <c r="G30" s="227">
        <f>[1]Model!P211</f>
        <v>0</v>
      </c>
      <c r="H30" s="225">
        <f>[1]Model!Q211</f>
        <v>0</v>
      </c>
      <c r="I30" s="225">
        <f>[1]Model!R211</f>
        <v>0</v>
      </c>
      <c r="J30" s="225">
        <f>[1]Model!S211</f>
        <v>0</v>
      </c>
      <c r="K30" s="226">
        <f>[1]Model!T211</f>
        <v>0</v>
      </c>
      <c r="L30" s="222"/>
      <c r="M30" s="222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</row>
    <row r="31" spans="1:27" x14ac:dyDescent="0.25">
      <c r="A31" s="216"/>
      <c r="B31" s="234"/>
      <c r="C31" s="235"/>
      <c r="D31" s="235"/>
      <c r="E31" s="235"/>
      <c r="F31" s="236"/>
      <c r="G31" s="237"/>
      <c r="H31" s="235"/>
      <c r="I31" s="235"/>
      <c r="J31" s="235"/>
      <c r="K31" s="236"/>
      <c r="L31" s="222"/>
      <c r="M31" s="222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</row>
    <row r="32" spans="1:27" x14ac:dyDescent="0.25">
      <c r="A32" s="223"/>
      <c r="B32" s="252" t="s">
        <v>264</v>
      </c>
      <c r="C32" s="253">
        <f>[1]Model!L165</f>
        <v>0</v>
      </c>
      <c r="D32" s="253">
        <f>[1]Model!M165</f>
        <v>0</v>
      </c>
      <c r="E32" s="253">
        <f>[1]Model!N165</f>
        <v>0</v>
      </c>
      <c r="F32" s="254">
        <f>[1]Model!O165</f>
        <v>0</v>
      </c>
      <c r="G32" s="255">
        <f>[1]Model!P165</f>
        <v>0</v>
      </c>
      <c r="H32" s="253">
        <f>[1]Model!Q165</f>
        <v>0</v>
      </c>
      <c r="I32" s="253">
        <f>[1]Model!R165</f>
        <v>0</v>
      </c>
      <c r="J32" s="253">
        <f>[1]Model!S165</f>
        <v>0</v>
      </c>
      <c r="K32" s="254">
        <f>[1]Model!T165</f>
        <v>0</v>
      </c>
      <c r="L32" s="222"/>
      <c r="M32" s="222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</row>
    <row r="33" spans="1:27" x14ac:dyDescent="0.25">
      <c r="A33" s="216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</row>
    <row r="34" spans="1:27" x14ac:dyDescent="0.25">
      <c r="A34" s="216"/>
      <c r="B34" s="222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</row>
    <row r="35" spans="1:27" x14ac:dyDescent="0.25">
      <c r="A35" s="216"/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</row>
    <row r="36" spans="1:27" x14ac:dyDescent="0.25">
      <c r="A36" s="216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</row>
    <row r="37" spans="1:27" x14ac:dyDescent="0.25">
      <c r="A37" s="216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</row>
    <row r="38" spans="1:27" x14ac:dyDescent="0.25">
      <c r="A38" s="216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</row>
    <row r="39" spans="1:27" x14ac:dyDescent="0.25">
      <c r="A39" s="216"/>
      <c r="B39" s="222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</row>
    <row r="40" spans="1:27" x14ac:dyDescent="0.25">
      <c r="A40" s="216"/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</row>
    <row r="41" spans="1:27" x14ac:dyDescent="0.25">
      <c r="A41" s="216"/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</row>
    <row r="42" spans="1:27" x14ac:dyDescent="0.25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</row>
    <row r="43" spans="1:27" x14ac:dyDescent="0.25">
      <c r="A43" s="216"/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</row>
    <row r="44" spans="1:27" x14ac:dyDescent="0.25">
      <c r="A44" s="216"/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</row>
    <row r="45" spans="1:27" x14ac:dyDescent="0.25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</row>
    <row r="46" spans="1:27" x14ac:dyDescent="0.25">
      <c r="A46" s="21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</row>
    <row r="47" spans="1:27" x14ac:dyDescent="0.25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</row>
    <row r="48" spans="1:27" x14ac:dyDescent="0.25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</row>
    <row r="49" spans="1:27" x14ac:dyDescent="0.25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</row>
    <row r="50" spans="1:27" x14ac:dyDescent="0.25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</row>
    <row r="51" spans="1:27" x14ac:dyDescent="0.25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</row>
    <row r="52" spans="1:27" x14ac:dyDescent="0.25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</row>
    <row r="53" spans="1:27" x14ac:dyDescent="0.25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</row>
    <row r="54" spans="1:27" x14ac:dyDescent="0.25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</row>
    <row r="55" spans="1:27" x14ac:dyDescent="0.2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</row>
    <row r="56" spans="1:27" x14ac:dyDescent="0.25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</row>
    <row r="57" spans="1:27" x14ac:dyDescent="0.25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</row>
    <row r="58" spans="1:27" x14ac:dyDescent="0.25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</row>
    <row r="59" spans="1:27" x14ac:dyDescent="0.25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</row>
    <row r="60" spans="1:27" x14ac:dyDescent="0.25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</row>
    <row r="61" spans="1:27" x14ac:dyDescent="0.25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</row>
    <row r="62" spans="1:27" x14ac:dyDescent="0.25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</row>
    <row r="63" spans="1:27" x14ac:dyDescent="0.25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</row>
    <row r="64" spans="1:27" x14ac:dyDescent="0.25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</row>
    <row r="65" spans="1:27" x14ac:dyDescent="0.25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</row>
    <row r="66" spans="1:27" x14ac:dyDescent="0.25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</row>
    <row r="67" spans="1:27" x14ac:dyDescent="0.25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</row>
    <row r="68" spans="1:27" x14ac:dyDescent="0.25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</row>
    <row r="69" spans="1:27" x14ac:dyDescent="0.25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</row>
    <row r="70" spans="1:27" x14ac:dyDescent="0.25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</row>
    <row r="71" spans="1:27" x14ac:dyDescent="0.25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</row>
    <row r="72" spans="1:27" x14ac:dyDescent="0.25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</row>
    <row r="73" spans="1:27" x14ac:dyDescent="0.25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</row>
    <row r="74" spans="1:27" x14ac:dyDescent="0.25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</row>
    <row r="75" spans="1:27" x14ac:dyDescent="0.25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</row>
    <row r="76" spans="1:27" x14ac:dyDescent="0.25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</row>
    <row r="77" spans="1:27" x14ac:dyDescent="0.25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</row>
    <row r="78" spans="1:27" x14ac:dyDescent="0.25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</row>
    <row r="79" spans="1:27" x14ac:dyDescent="0.25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</row>
    <row r="80" spans="1:27" x14ac:dyDescent="0.25">
      <c r="A80" s="21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</row>
    <row r="81" spans="1:27" x14ac:dyDescent="0.25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</row>
    <row r="82" spans="1:27" x14ac:dyDescent="0.25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</row>
    <row r="83" spans="1:27" x14ac:dyDescent="0.25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</row>
    <row r="84" spans="1:27" x14ac:dyDescent="0.25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</row>
    <row r="85" spans="1:27" x14ac:dyDescent="0.25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</row>
    <row r="86" spans="1:27" x14ac:dyDescent="0.25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</row>
    <row r="87" spans="1:27" x14ac:dyDescent="0.25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</row>
    <row r="88" spans="1:27" x14ac:dyDescent="0.25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</row>
    <row r="89" spans="1:27" x14ac:dyDescent="0.25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</row>
    <row r="90" spans="1:27" x14ac:dyDescent="0.25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</row>
    <row r="91" spans="1:27" x14ac:dyDescent="0.25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</row>
    <row r="92" spans="1:27" x14ac:dyDescent="0.25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</row>
    <row r="93" spans="1:27" x14ac:dyDescent="0.25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</row>
    <row r="94" spans="1:27" x14ac:dyDescent="0.25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</row>
    <row r="95" spans="1:27" x14ac:dyDescent="0.25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</row>
    <row r="96" spans="1:27" x14ac:dyDescent="0.25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</row>
    <row r="97" spans="1:27" x14ac:dyDescent="0.25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</row>
    <row r="98" spans="1:27" x14ac:dyDescent="0.25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</row>
    <row r="99" spans="1:27" x14ac:dyDescent="0.25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</row>
    <row r="100" spans="1:27" x14ac:dyDescent="0.25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</row>
    <row r="101" spans="1:27" x14ac:dyDescent="0.25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</row>
    <row r="102" spans="1:27" x14ac:dyDescent="0.25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</row>
    <row r="103" spans="1:27" x14ac:dyDescent="0.25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</row>
    <row r="104" spans="1:27" x14ac:dyDescent="0.25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</row>
    <row r="105" spans="1:27" x14ac:dyDescent="0.25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</row>
    <row r="106" spans="1:27" x14ac:dyDescent="0.25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</row>
    <row r="107" spans="1:27" x14ac:dyDescent="0.25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</row>
    <row r="108" spans="1:27" x14ac:dyDescent="0.25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</row>
    <row r="109" spans="1:27" x14ac:dyDescent="0.25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</row>
    <row r="110" spans="1:27" x14ac:dyDescent="0.25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</row>
    <row r="111" spans="1:27" x14ac:dyDescent="0.25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</row>
    <row r="112" spans="1:27" x14ac:dyDescent="0.25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</row>
    <row r="113" spans="1:27" x14ac:dyDescent="0.25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</row>
    <row r="114" spans="1:27" x14ac:dyDescent="0.25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</row>
    <row r="115" spans="1:27" x14ac:dyDescent="0.25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</row>
    <row r="116" spans="1:27" x14ac:dyDescent="0.25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</row>
    <row r="117" spans="1:27" x14ac:dyDescent="0.25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</row>
    <row r="118" spans="1:27" x14ac:dyDescent="0.25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</row>
    <row r="119" spans="1:27" x14ac:dyDescent="0.25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</row>
    <row r="120" spans="1:27" x14ac:dyDescent="0.25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</row>
    <row r="121" spans="1:27" x14ac:dyDescent="0.25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</row>
    <row r="122" spans="1:27" x14ac:dyDescent="0.25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</row>
    <row r="123" spans="1:27" x14ac:dyDescent="0.25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</row>
    <row r="124" spans="1:27" x14ac:dyDescent="0.25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</row>
    <row r="125" spans="1:27" x14ac:dyDescent="0.25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</row>
    <row r="126" spans="1:27" x14ac:dyDescent="0.25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</row>
    <row r="127" spans="1:27" x14ac:dyDescent="0.25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</row>
    <row r="128" spans="1:27" x14ac:dyDescent="0.25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</row>
    <row r="129" spans="1:27" x14ac:dyDescent="0.25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</row>
    <row r="130" spans="1:27" x14ac:dyDescent="0.25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</row>
    <row r="131" spans="1:27" x14ac:dyDescent="0.25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</row>
    <row r="132" spans="1:27" x14ac:dyDescent="0.25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</row>
    <row r="133" spans="1:27" x14ac:dyDescent="0.25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</row>
    <row r="134" spans="1:27" x14ac:dyDescent="0.25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</row>
    <row r="135" spans="1:27" x14ac:dyDescent="0.25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</row>
    <row r="136" spans="1:27" x14ac:dyDescent="0.25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</row>
    <row r="137" spans="1:27" x14ac:dyDescent="0.25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</row>
    <row r="138" spans="1:27" x14ac:dyDescent="0.25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</row>
    <row r="139" spans="1:27" x14ac:dyDescent="0.25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</row>
    <row r="140" spans="1:27" x14ac:dyDescent="0.25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</row>
    <row r="141" spans="1:27" x14ac:dyDescent="0.25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</row>
    <row r="142" spans="1:27" x14ac:dyDescent="0.25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</row>
    <row r="143" spans="1:27" x14ac:dyDescent="0.25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</row>
    <row r="144" spans="1:27" x14ac:dyDescent="0.25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</row>
    <row r="145" spans="1:27" x14ac:dyDescent="0.25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</row>
    <row r="146" spans="1:27" x14ac:dyDescent="0.25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</row>
    <row r="147" spans="1:27" x14ac:dyDescent="0.25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</row>
    <row r="148" spans="1:27" x14ac:dyDescent="0.25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</row>
    <row r="149" spans="1:27" x14ac:dyDescent="0.25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</row>
    <row r="150" spans="1:27" x14ac:dyDescent="0.25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</row>
    <row r="151" spans="1:27" x14ac:dyDescent="0.25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</row>
    <row r="152" spans="1:27" x14ac:dyDescent="0.25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</row>
    <row r="153" spans="1:27" x14ac:dyDescent="0.25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</row>
    <row r="154" spans="1:27" x14ac:dyDescent="0.25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</row>
    <row r="155" spans="1:27" x14ac:dyDescent="0.25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</row>
    <row r="156" spans="1:27" x14ac:dyDescent="0.25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</row>
    <row r="157" spans="1:27" x14ac:dyDescent="0.25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</row>
    <row r="158" spans="1:27" x14ac:dyDescent="0.25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</row>
    <row r="159" spans="1:27" x14ac:dyDescent="0.25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</row>
    <row r="160" spans="1:27" x14ac:dyDescent="0.25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</row>
    <row r="161" spans="1:27" x14ac:dyDescent="0.25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</row>
    <row r="162" spans="1:27" x14ac:dyDescent="0.25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</row>
    <row r="163" spans="1:27" x14ac:dyDescent="0.25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</row>
    <row r="164" spans="1:27" x14ac:dyDescent="0.25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</row>
    <row r="165" spans="1:27" x14ac:dyDescent="0.25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</row>
    <row r="166" spans="1:27" x14ac:dyDescent="0.25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</row>
    <row r="167" spans="1:27" x14ac:dyDescent="0.25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</row>
    <row r="168" spans="1:27" x14ac:dyDescent="0.25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</row>
    <row r="169" spans="1:27" x14ac:dyDescent="0.25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</row>
    <row r="170" spans="1:27" x14ac:dyDescent="0.25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</row>
    <row r="171" spans="1:27" x14ac:dyDescent="0.25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</row>
    <row r="172" spans="1:27" x14ac:dyDescent="0.25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</row>
    <row r="173" spans="1:27" x14ac:dyDescent="0.25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</row>
    <row r="174" spans="1:27" x14ac:dyDescent="0.25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</row>
    <row r="175" spans="1:27" x14ac:dyDescent="0.25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</row>
    <row r="176" spans="1:27" x14ac:dyDescent="0.25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</row>
    <row r="177" spans="1:27" x14ac:dyDescent="0.25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</row>
    <row r="178" spans="1:27" x14ac:dyDescent="0.25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</row>
    <row r="179" spans="1:27" x14ac:dyDescent="0.25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</row>
    <row r="180" spans="1:27" x14ac:dyDescent="0.25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</row>
    <row r="181" spans="1:27" x14ac:dyDescent="0.25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</row>
    <row r="182" spans="1:27" x14ac:dyDescent="0.25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</row>
    <row r="183" spans="1:27" x14ac:dyDescent="0.25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</row>
    <row r="184" spans="1:27" x14ac:dyDescent="0.25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</row>
    <row r="185" spans="1:27" x14ac:dyDescent="0.25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</row>
    <row r="186" spans="1:27" x14ac:dyDescent="0.25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</row>
    <row r="187" spans="1:27" x14ac:dyDescent="0.25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</row>
    <row r="188" spans="1:27" x14ac:dyDescent="0.25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</row>
    <row r="189" spans="1:27" x14ac:dyDescent="0.25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</row>
    <row r="190" spans="1:27" x14ac:dyDescent="0.25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</row>
    <row r="191" spans="1:27" x14ac:dyDescent="0.25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</row>
    <row r="192" spans="1:27" x14ac:dyDescent="0.25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</row>
    <row r="193" spans="1:27" x14ac:dyDescent="0.25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</row>
    <row r="194" spans="1:27" x14ac:dyDescent="0.25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</row>
    <row r="195" spans="1:27" x14ac:dyDescent="0.25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</row>
    <row r="196" spans="1:27" x14ac:dyDescent="0.25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</row>
    <row r="197" spans="1:27" x14ac:dyDescent="0.25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</row>
    <row r="198" spans="1:27" x14ac:dyDescent="0.25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</row>
    <row r="199" spans="1:27" x14ac:dyDescent="0.25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</row>
    <row r="200" spans="1:27" x14ac:dyDescent="0.25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</row>
    <row r="201" spans="1:27" x14ac:dyDescent="0.25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</row>
    <row r="202" spans="1:27" x14ac:dyDescent="0.25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</row>
    <row r="203" spans="1:27" x14ac:dyDescent="0.25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</row>
    <row r="204" spans="1:27" x14ac:dyDescent="0.25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</row>
    <row r="205" spans="1:27" x14ac:dyDescent="0.25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</row>
    <row r="206" spans="1:27" x14ac:dyDescent="0.25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</row>
    <row r="207" spans="1:27" x14ac:dyDescent="0.25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</row>
    <row r="208" spans="1:27" x14ac:dyDescent="0.25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</row>
    <row r="209" spans="1:27" x14ac:dyDescent="0.25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</row>
    <row r="210" spans="1:27" x14ac:dyDescent="0.25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</row>
    <row r="211" spans="1:27" x14ac:dyDescent="0.25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</row>
    <row r="212" spans="1:27" x14ac:dyDescent="0.25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</row>
    <row r="213" spans="1:27" x14ac:dyDescent="0.25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</row>
    <row r="214" spans="1:27" x14ac:dyDescent="0.25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</row>
    <row r="215" spans="1:27" x14ac:dyDescent="0.25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</row>
    <row r="216" spans="1:27" x14ac:dyDescent="0.25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</row>
    <row r="217" spans="1:27" x14ac:dyDescent="0.25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</row>
    <row r="218" spans="1:27" x14ac:dyDescent="0.25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</row>
    <row r="219" spans="1:27" x14ac:dyDescent="0.25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</row>
    <row r="220" spans="1:27" x14ac:dyDescent="0.25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</row>
    <row r="221" spans="1:27" x14ac:dyDescent="0.25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</row>
    <row r="222" spans="1:27" x14ac:dyDescent="0.25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</row>
    <row r="223" spans="1:27" x14ac:dyDescent="0.25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</row>
    <row r="224" spans="1:27" x14ac:dyDescent="0.25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</row>
    <row r="225" spans="1:27" x14ac:dyDescent="0.25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</row>
    <row r="226" spans="1:27" x14ac:dyDescent="0.25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</row>
    <row r="227" spans="1:27" x14ac:dyDescent="0.25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</row>
    <row r="228" spans="1:27" x14ac:dyDescent="0.25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</row>
    <row r="229" spans="1:27" x14ac:dyDescent="0.25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</row>
    <row r="230" spans="1:27" x14ac:dyDescent="0.25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</row>
    <row r="231" spans="1:27" x14ac:dyDescent="0.25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</row>
    <row r="232" spans="1:27" x14ac:dyDescent="0.25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</row>
    <row r="233" spans="1:27" x14ac:dyDescent="0.25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</row>
    <row r="234" spans="1:27" x14ac:dyDescent="0.25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</row>
    <row r="235" spans="1:27" x14ac:dyDescent="0.25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</row>
    <row r="236" spans="1:27" x14ac:dyDescent="0.25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</row>
    <row r="237" spans="1:27" x14ac:dyDescent="0.25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</row>
    <row r="238" spans="1:27" x14ac:dyDescent="0.25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</row>
    <row r="239" spans="1:27" x14ac:dyDescent="0.25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</row>
    <row r="240" spans="1:27" x14ac:dyDescent="0.25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</row>
    <row r="241" spans="1:27" x14ac:dyDescent="0.25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</row>
    <row r="242" spans="1:27" x14ac:dyDescent="0.25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</row>
    <row r="243" spans="1:27" x14ac:dyDescent="0.25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</row>
    <row r="244" spans="1:27" x14ac:dyDescent="0.25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</row>
    <row r="245" spans="1:27" x14ac:dyDescent="0.25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</row>
    <row r="246" spans="1:27" x14ac:dyDescent="0.25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</row>
    <row r="247" spans="1:27" x14ac:dyDescent="0.25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</row>
    <row r="248" spans="1:27" x14ac:dyDescent="0.25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</row>
    <row r="249" spans="1:27" x14ac:dyDescent="0.25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</row>
    <row r="250" spans="1:27" x14ac:dyDescent="0.25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</row>
    <row r="251" spans="1:27" x14ac:dyDescent="0.25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</row>
    <row r="252" spans="1:27" x14ac:dyDescent="0.25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</row>
    <row r="253" spans="1:27" x14ac:dyDescent="0.25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</row>
    <row r="254" spans="1:27" x14ac:dyDescent="0.25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</row>
    <row r="255" spans="1:27" x14ac:dyDescent="0.25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</row>
    <row r="256" spans="1:27" x14ac:dyDescent="0.25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</row>
    <row r="257" spans="1:27" x14ac:dyDescent="0.25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</row>
    <row r="258" spans="1:27" x14ac:dyDescent="0.25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</row>
    <row r="259" spans="1:27" x14ac:dyDescent="0.25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</row>
    <row r="260" spans="1:27" x14ac:dyDescent="0.25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</row>
    <row r="261" spans="1:27" x14ac:dyDescent="0.25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</row>
    <row r="262" spans="1:27" x14ac:dyDescent="0.25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</row>
    <row r="263" spans="1:27" x14ac:dyDescent="0.25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</row>
    <row r="264" spans="1:27" x14ac:dyDescent="0.25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</row>
    <row r="265" spans="1:27" x14ac:dyDescent="0.25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</row>
    <row r="266" spans="1:27" x14ac:dyDescent="0.25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</row>
    <row r="267" spans="1:27" x14ac:dyDescent="0.25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</row>
    <row r="268" spans="1:27" x14ac:dyDescent="0.25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</row>
    <row r="269" spans="1:27" x14ac:dyDescent="0.25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</row>
    <row r="270" spans="1:27" x14ac:dyDescent="0.25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</row>
    <row r="271" spans="1:27" x14ac:dyDescent="0.25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</row>
    <row r="272" spans="1:27" x14ac:dyDescent="0.25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</row>
    <row r="273" spans="1:27" x14ac:dyDescent="0.25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</row>
    <row r="274" spans="1:27" x14ac:dyDescent="0.25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</row>
    <row r="275" spans="1:27" x14ac:dyDescent="0.25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</row>
    <row r="276" spans="1:27" x14ac:dyDescent="0.25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</row>
    <row r="277" spans="1:27" x14ac:dyDescent="0.25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</row>
    <row r="278" spans="1:27" x14ac:dyDescent="0.25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  <c r="AA278" s="216"/>
    </row>
    <row r="279" spans="1:27" x14ac:dyDescent="0.25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  <c r="AA279" s="216"/>
    </row>
    <row r="280" spans="1:27" x14ac:dyDescent="0.25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  <c r="AA280" s="216"/>
    </row>
    <row r="281" spans="1:27" x14ac:dyDescent="0.25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  <c r="AA281" s="216"/>
    </row>
    <row r="282" spans="1:27" x14ac:dyDescent="0.25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</row>
    <row r="283" spans="1:27" x14ac:dyDescent="0.25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  <c r="AA283" s="216"/>
    </row>
    <row r="284" spans="1:27" x14ac:dyDescent="0.25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  <c r="AA284" s="216"/>
    </row>
    <row r="285" spans="1:27" x14ac:dyDescent="0.25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</row>
    <row r="286" spans="1:27" x14ac:dyDescent="0.25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</row>
    <row r="287" spans="1:27" x14ac:dyDescent="0.25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</row>
    <row r="288" spans="1:27" x14ac:dyDescent="0.25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</row>
    <row r="289" spans="1:27" x14ac:dyDescent="0.25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  <c r="AA289" s="216"/>
    </row>
    <row r="290" spans="1:27" x14ac:dyDescent="0.25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  <c r="AA290" s="216"/>
    </row>
    <row r="291" spans="1:27" x14ac:dyDescent="0.25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  <c r="AA291" s="216"/>
    </row>
    <row r="292" spans="1:27" x14ac:dyDescent="0.25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  <c r="AA292" s="216"/>
    </row>
    <row r="293" spans="1:27" x14ac:dyDescent="0.25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  <c r="AA293" s="216"/>
    </row>
    <row r="294" spans="1:27" x14ac:dyDescent="0.25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  <c r="AA294" s="216"/>
    </row>
    <row r="295" spans="1:27" x14ac:dyDescent="0.25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  <c r="AA295" s="216"/>
    </row>
    <row r="296" spans="1:27" x14ac:dyDescent="0.25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  <c r="AA296" s="216"/>
    </row>
    <row r="297" spans="1:27" x14ac:dyDescent="0.25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  <c r="AA297" s="216"/>
    </row>
    <row r="298" spans="1:27" x14ac:dyDescent="0.25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  <c r="AA298" s="216"/>
    </row>
    <row r="299" spans="1:27" x14ac:dyDescent="0.25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</row>
    <row r="300" spans="1:27" x14ac:dyDescent="0.25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  <c r="AA300" s="216"/>
    </row>
    <row r="301" spans="1:27" x14ac:dyDescent="0.25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  <c r="AA301" s="216"/>
    </row>
    <row r="302" spans="1:27" x14ac:dyDescent="0.25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</row>
    <row r="303" spans="1:27" x14ac:dyDescent="0.25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  <c r="AA303" s="216"/>
    </row>
    <row r="304" spans="1:27" x14ac:dyDescent="0.25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</row>
    <row r="305" spans="1:27" x14ac:dyDescent="0.25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  <c r="AA305" s="216"/>
    </row>
    <row r="306" spans="1:27" x14ac:dyDescent="0.25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</row>
    <row r="307" spans="1:27" x14ac:dyDescent="0.25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  <c r="AA307" s="216"/>
    </row>
    <row r="308" spans="1:27" x14ac:dyDescent="0.25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</row>
    <row r="309" spans="1:27" x14ac:dyDescent="0.25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  <c r="AA309" s="216"/>
    </row>
    <row r="310" spans="1:27" x14ac:dyDescent="0.25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</row>
    <row r="311" spans="1:27" x14ac:dyDescent="0.25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  <c r="AA311" s="216"/>
    </row>
    <row r="312" spans="1:27" x14ac:dyDescent="0.25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</row>
    <row r="313" spans="1:27" x14ac:dyDescent="0.25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  <c r="AA313" s="216"/>
    </row>
    <row r="314" spans="1:27" x14ac:dyDescent="0.25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  <c r="AA314" s="216"/>
    </row>
    <row r="315" spans="1:27" x14ac:dyDescent="0.25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  <c r="AA315" s="216"/>
    </row>
    <row r="316" spans="1:27" x14ac:dyDescent="0.25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  <c r="AA316" s="216"/>
    </row>
    <row r="317" spans="1:27" x14ac:dyDescent="0.25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  <c r="AA317" s="216"/>
    </row>
    <row r="318" spans="1:27" x14ac:dyDescent="0.25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  <c r="AA318" s="216"/>
    </row>
    <row r="319" spans="1:27" x14ac:dyDescent="0.25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  <c r="AA319" s="216"/>
    </row>
    <row r="320" spans="1:27" x14ac:dyDescent="0.25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  <c r="AA320" s="216"/>
    </row>
    <row r="321" spans="1:27" x14ac:dyDescent="0.25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  <c r="AA321" s="216"/>
    </row>
    <row r="322" spans="1:27" x14ac:dyDescent="0.25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</row>
    <row r="323" spans="1:27" x14ac:dyDescent="0.25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  <c r="AA323" s="216"/>
    </row>
    <row r="324" spans="1:27" x14ac:dyDescent="0.25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</row>
    <row r="325" spans="1:27" x14ac:dyDescent="0.25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  <c r="AA325" s="216"/>
    </row>
    <row r="326" spans="1:27" x14ac:dyDescent="0.25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  <c r="AA326" s="216"/>
    </row>
    <row r="327" spans="1:27" x14ac:dyDescent="0.25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  <c r="AA327" s="216"/>
    </row>
    <row r="328" spans="1:27" x14ac:dyDescent="0.25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  <c r="AA328" s="216"/>
    </row>
    <row r="329" spans="1:27" x14ac:dyDescent="0.25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  <c r="AA329" s="216"/>
    </row>
    <row r="330" spans="1:27" x14ac:dyDescent="0.25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  <c r="AA330" s="216"/>
    </row>
    <row r="331" spans="1:27" x14ac:dyDescent="0.25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  <c r="AA331" s="216"/>
    </row>
    <row r="332" spans="1:27" x14ac:dyDescent="0.25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  <c r="AA332" s="216"/>
    </row>
    <row r="333" spans="1:27" x14ac:dyDescent="0.25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  <c r="AA333" s="216"/>
    </row>
    <row r="334" spans="1:27" x14ac:dyDescent="0.25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  <c r="AA334" s="216"/>
    </row>
    <row r="335" spans="1:27" x14ac:dyDescent="0.25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  <c r="AA335" s="216"/>
    </row>
    <row r="336" spans="1:27" x14ac:dyDescent="0.25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</row>
    <row r="337" spans="1:27" x14ac:dyDescent="0.25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  <c r="AA337" s="216"/>
    </row>
    <row r="338" spans="1:27" x14ac:dyDescent="0.25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  <c r="AA338" s="216"/>
    </row>
    <row r="339" spans="1:27" x14ac:dyDescent="0.25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  <c r="AA339" s="216"/>
    </row>
    <row r="340" spans="1:27" x14ac:dyDescent="0.25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</row>
    <row r="341" spans="1:27" x14ac:dyDescent="0.25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  <c r="AA341" s="216"/>
    </row>
    <row r="342" spans="1:27" x14ac:dyDescent="0.25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  <c r="AA342" s="216"/>
    </row>
    <row r="343" spans="1:27" x14ac:dyDescent="0.25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  <c r="AA343" s="216"/>
    </row>
    <row r="344" spans="1:27" x14ac:dyDescent="0.25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  <c r="AA344" s="216"/>
    </row>
    <row r="345" spans="1:27" x14ac:dyDescent="0.25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</row>
    <row r="346" spans="1:27" x14ac:dyDescent="0.25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</row>
    <row r="347" spans="1:27" x14ac:dyDescent="0.25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  <c r="AA347" s="216"/>
    </row>
    <row r="348" spans="1:27" x14ac:dyDescent="0.25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  <c r="AA348" s="216"/>
    </row>
    <row r="349" spans="1:27" x14ac:dyDescent="0.25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  <c r="AA349" s="216"/>
    </row>
    <row r="350" spans="1:27" x14ac:dyDescent="0.25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  <c r="AA350" s="216"/>
    </row>
    <row r="351" spans="1:27" x14ac:dyDescent="0.25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</row>
    <row r="352" spans="1:27" x14ac:dyDescent="0.25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  <c r="AA352" s="216"/>
    </row>
    <row r="353" spans="1:27" x14ac:dyDescent="0.25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  <c r="AA353" s="216"/>
    </row>
    <row r="354" spans="1:27" x14ac:dyDescent="0.25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  <c r="AA354" s="216"/>
    </row>
    <row r="355" spans="1:27" x14ac:dyDescent="0.25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  <c r="AA355" s="216"/>
    </row>
    <row r="356" spans="1:27" x14ac:dyDescent="0.25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  <c r="AA356" s="216"/>
    </row>
    <row r="357" spans="1:27" x14ac:dyDescent="0.25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</row>
    <row r="358" spans="1:27" x14ac:dyDescent="0.25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</row>
    <row r="359" spans="1:27" x14ac:dyDescent="0.25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</row>
    <row r="360" spans="1:27" x14ac:dyDescent="0.25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  <c r="AA360" s="216"/>
    </row>
    <row r="361" spans="1:27" x14ac:dyDescent="0.25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</row>
    <row r="362" spans="1:27" x14ac:dyDescent="0.25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</row>
    <row r="363" spans="1:27" x14ac:dyDescent="0.25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</row>
    <row r="364" spans="1:27" x14ac:dyDescent="0.25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  <c r="AA364" s="216"/>
    </row>
    <row r="365" spans="1:27" x14ac:dyDescent="0.25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  <c r="AA365" s="216"/>
    </row>
    <row r="366" spans="1:27" x14ac:dyDescent="0.25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</row>
    <row r="367" spans="1:27" x14ac:dyDescent="0.25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  <c r="AA367" s="216"/>
    </row>
    <row r="368" spans="1:27" x14ac:dyDescent="0.25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  <c r="AA368" s="216"/>
    </row>
    <row r="369" spans="1:27" x14ac:dyDescent="0.25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  <c r="AA369" s="216"/>
    </row>
    <row r="370" spans="1:27" x14ac:dyDescent="0.25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  <c r="AA370" s="216"/>
    </row>
    <row r="371" spans="1:27" x14ac:dyDescent="0.25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  <c r="AA371" s="216"/>
    </row>
    <row r="372" spans="1:27" x14ac:dyDescent="0.25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  <c r="AA372" s="216"/>
    </row>
    <row r="373" spans="1:27" x14ac:dyDescent="0.25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  <c r="AA373" s="216"/>
    </row>
    <row r="374" spans="1:27" x14ac:dyDescent="0.25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  <c r="AA374" s="216"/>
    </row>
    <row r="375" spans="1:27" x14ac:dyDescent="0.25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  <c r="AA375" s="216"/>
    </row>
    <row r="376" spans="1:27" x14ac:dyDescent="0.25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  <c r="AA376" s="216"/>
    </row>
    <row r="377" spans="1:27" x14ac:dyDescent="0.25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  <c r="AA377" s="216"/>
    </row>
    <row r="378" spans="1:27" x14ac:dyDescent="0.25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  <c r="AA378" s="216"/>
    </row>
    <row r="379" spans="1:27" x14ac:dyDescent="0.25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  <c r="AA379" s="216"/>
    </row>
    <row r="380" spans="1:27" x14ac:dyDescent="0.25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  <c r="AA380" s="216"/>
    </row>
    <row r="381" spans="1:27" x14ac:dyDescent="0.25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  <c r="AA381" s="216"/>
    </row>
    <row r="382" spans="1:27" x14ac:dyDescent="0.25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  <c r="AA382" s="216"/>
    </row>
    <row r="383" spans="1:27" x14ac:dyDescent="0.25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  <c r="AA383" s="216"/>
    </row>
    <row r="384" spans="1:27" x14ac:dyDescent="0.25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  <c r="AA384" s="216"/>
    </row>
    <row r="385" spans="1:27" x14ac:dyDescent="0.25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  <c r="AA385" s="216"/>
    </row>
    <row r="386" spans="1:27" x14ac:dyDescent="0.25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  <c r="AA386" s="216"/>
    </row>
    <row r="387" spans="1:27" x14ac:dyDescent="0.25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  <c r="AA387" s="216"/>
    </row>
    <row r="388" spans="1:27" x14ac:dyDescent="0.25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</row>
    <row r="389" spans="1:27" x14ac:dyDescent="0.25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</row>
    <row r="390" spans="1:27" x14ac:dyDescent="0.25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  <c r="AA390" s="216"/>
    </row>
    <row r="391" spans="1:27" x14ac:dyDescent="0.25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  <c r="AA391" s="216"/>
    </row>
    <row r="392" spans="1:27" x14ac:dyDescent="0.25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  <c r="AA392" s="216"/>
    </row>
    <row r="393" spans="1:27" x14ac:dyDescent="0.25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  <c r="AA393" s="216"/>
    </row>
    <row r="394" spans="1:27" x14ac:dyDescent="0.25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  <c r="AA394" s="216"/>
    </row>
    <row r="395" spans="1:27" x14ac:dyDescent="0.25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  <c r="AA395" s="216"/>
    </row>
    <row r="396" spans="1:27" x14ac:dyDescent="0.25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  <c r="AA396" s="216"/>
    </row>
    <row r="397" spans="1:27" x14ac:dyDescent="0.25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  <c r="AA397" s="216"/>
    </row>
    <row r="398" spans="1:27" x14ac:dyDescent="0.25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  <c r="AA398" s="216"/>
    </row>
    <row r="399" spans="1:27" x14ac:dyDescent="0.25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  <c r="AA399" s="216"/>
    </row>
    <row r="400" spans="1:27" x14ac:dyDescent="0.25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  <c r="AA400" s="216"/>
    </row>
    <row r="401" spans="1:27" x14ac:dyDescent="0.25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</row>
    <row r="402" spans="1:27" x14ac:dyDescent="0.25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  <c r="AA402" s="216"/>
    </row>
    <row r="403" spans="1:27" x14ac:dyDescent="0.25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  <c r="AA403" s="216"/>
    </row>
    <row r="404" spans="1:27" x14ac:dyDescent="0.25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  <c r="AA404" s="216"/>
    </row>
    <row r="405" spans="1:27" x14ac:dyDescent="0.25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  <c r="AA405" s="216"/>
    </row>
    <row r="406" spans="1:27" x14ac:dyDescent="0.25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  <c r="AA406" s="216"/>
    </row>
    <row r="407" spans="1:27" x14ac:dyDescent="0.25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  <c r="AA407" s="216"/>
    </row>
    <row r="408" spans="1:27" x14ac:dyDescent="0.25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  <c r="AA408" s="216"/>
    </row>
    <row r="409" spans="1:27" x14ac:dyDescent="0.25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  <c r="AA409" s="216"/>
    </row>
    <row r="410" spans="1:27" x14ac:dyDescent="0.25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  <c r="AA410" s="216"/>
    </row>
    <row r="411" spans="1:27" x14ac:dyDescent="0.25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  <c r="AA411" s="216"/>
    </row>
    <row r="412" spans="1:27" x14ac:dyDescent="0.25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  <c r="AA412" s="216"/>
    </row>
    <row r="413" spans="1:27" x14ac:dyDescent="0.25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  <c r="AA413" s="216"/>
    </row>
    <row r="414" spans="1:27" x14ac:dyDescent="0.25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  <c r="AA414" s="216"/>
    </row>
    <row r="415" spans="1:27" x14ac:dyDescent="0.25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</row>
    <row r="416" spans="1:27" x14ac:dyDescent="0.25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  <c r="AA416" s="216"/>
    </row>
    <row r="417" spans="1:27" x14ac:dyDescent="0.25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  <c r="AA417" s="216"/>
    </row>
    <row r="418" spans="1:27" x14ac:dyDescent="0.25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  <c r="AA418" s="216"/>
    </row>
    <row r="419" spans="1:27" x14ac:dyDescent="0.25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  <c r="AA419" s="216"/>
    </row>
    <row r="420" spans="1:27" x14ac:dyDescent="0.25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  <c r="AA420" s="216"/>
    </row>
    <row r="421" spans="1:27" x14ac:dyDescent="0.25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  <c r="AA421" s="216"/>
    </row>
    <row r="422" spans="1:27" x14ac:dyDescent="0.25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  <c r="AA422" s="216"/>
    </row>
    <row r="423" spans="1:27" x14ac:dyDescent="0.25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  <c r="AA423" s="216"/>
    </row>
    <row r="424" spans="1:27" x14ac:dyDescent="0.25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  <c r="AA424" s="216"/>
    </row>
    <row r="425" spans="1:27" x14ac:dyDescent="0.25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  <c r="AA425" s="216"/>
    </row>
    <row r="426" spans="1:27" x14ac:dyDescent="0.25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  <c r="AA426" s="216"/>
    </row>
    <row r="427" spans="1:27" x14ac:dyDescent="0.25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  <c r="AA427" s="216"/>
    </row>
    <row r="428" spans="1:27" x14ac:dyDescent="0.25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  <c r="AA428" s="216"/>
    </row>
    <row r="429" spans="1:27" x14ac:dyDescent="0.25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  <c r="AA429" s="216"/>
    </row>
    <row r="430" spans="1:27" x14ac:dyDescent="0.25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  <c r="AA430" s="216"/>
    </row>
    <row r="431" spans="1:27" x14ac:dyDescent="0.25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  <c r="AA431" s="216"/>
    </row>
    <row r="432" spans="1:27" x14ac:dyDescent="0.25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  <c r="AA432" s="216"/>
    </row>
    <row r="433" spans="1:27" x14ac:dyDescent="0.25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</row>
    <row r="434" spans="1:27" x14ac:dyDescent="0.25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</row>
    <row r="435" spans="1:27" x14ac:dyDescent="0.25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</row>
    <row r="436" spans="1:27" x14ac:dyDescent="0.25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</row>
    <row r="437" spans="1:27" x14ac:dyDescent="0.25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</row>
    <row r="438" spans="1:27" x14ac:dyDescent="0.25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</row>
    <row r="439" spans="1:27" x14ac:dyDescent="0.25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</row>
    <row r="440" spans="1:27" x14ac:dyDescent="0.25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</row>
    <row r="441" spans="1:27" x14ac:dyDescent="0.25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</row>
    <row r="442" spans="1:27" x14ac:dyDescent="0.25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</row>
    <row r="443" spans="1:27" x14ac:dyDescent="0.25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</row>
    <row r="444" spans="1:27" x14ac:dyDescent="0.25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</row>
    <row r="445" spans="1:27" x14ac:dyDescent="0.25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</row>
    <row r="446" spans="1:27" x14ac:dyDescent="0.25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</row>
    <row r="447" spans="1:27" x14ac:dyDescent="0.25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</row>
    <row r="448" spans="1:27" x14ac:dyDescent="0.25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</row>
    <row r="449" spans="1:27" x14ac:dyDescent="0.25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</row>
    <row r="450" spans="1:27" x14ac:dyDescent="0.25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</row>
    <row r="451" spans="1:27" x14ac:dyDescent="0.25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</row>
    <row r="452" spans="1:27" x14ac:dyDescent="0.25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</row>
    <row r="453" spans="1:27" x14ac:dyDescent="0.25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</row>
    <row r="454" spans="1:27" x14ac:dyDescent="0.25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</row>
    <row r="455" spans="1:27" x14ac:dyDescent="0.25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</row>
    <row r="456" spans="1:27" x14ac:dyDescent="0.25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</row>
    <row r="457" spans="1:27" x14ac:dyDescent="0.25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</row>
    <row r="458" spans="1:27" x14ac:dyDescent="0.25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</row>
    <row r="459" spans="1:27" x14ac:dyDescent="0.25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</row>
    <row r="460" spans="1:27" x14ac:dyDescent="0.25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</row>
    <row r="461" spans="1:27" x14ac:dyDescent="0.25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</row>
    <row r="462" spans="1:27" x14ac:dyDescent="0.25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</row>
    <row r="463" spans="1:27" x14ac:dyDescent="0.25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</row>
    <row r="464" spans="1:27" x14ac:dyDescent="0.25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</row>
    <row r="465" spans="1:27" x14ac:dyDescent="0.25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</row>
    <row r="466" spans="1:27" x14ac:dyDescent="0.25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</row>
    <row r="467" spans="1:27" x14ac:dyDescent="0.25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</row>
    <row r="468" spans="1:27" x14ac:dyDescent="0.25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</row>
    <row r="469" spans="1:27" x14ac:dyDescent="0.25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</row>
    <row r="470" spans="1:27" x14ac:dyDescent="0.25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</row>
    <row r="471" spans="1:27" x14ac:dyDescent="0.25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</row>
    <row r="472" spans="1:27" x14ac:dyDescent="0.25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</row>
    <row r="473" spans="1:27" x14ac:dyDescent="0.25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</row>
    <row r="474" spans="1:27" x14ac:dyDescent="0.25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</row>
    <row r="475" spans="1:27" x14ac:dyDescent="0.25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</row>
    <row r="476" spans="1:27" x14ac:dyDescent="0.25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</row>
    <row r="477" spans="1:27" x14ac:dyDescent="0.25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</row>
    <row r="478" spans="1:27" x14ac:dyDescent="0.25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</row>
    <row r="479" spans="1:27" x14ac:dyDescent="0.25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</row>
    <row r="480" spans="1:27" x14ac:dyDescent="0.25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</row>
    <row r="481" spans="1:27" x14ac:dyDescent="0.25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</row>
    <row r="482" spans="1:27" x14ac:dyDescent="0.25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</row>
    <row r="483" spans="1:27" x14ac:dyDescent="0.25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</row>
    <row r="484" spans="1:27" x14ac:dyDescent="0.25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</row>
    <row r="485" spans="1:27" x14ac:dyDescent="0.25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</row>
    <row r="486" spans="1:27" x14ac:dyDescent="0.25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</row>
    <row r="487" spans="1:27" x14ac:dyDescent="0.25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</row>
    <row r="488" spans="1:27" x14ac:dyDescent="0.25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</row>
    <row r="489" spans="1:27" x14ac:dyDescent="0.25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</row>
    <row r="490" spans="1:27" x14ac:dyDescent="0.25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</row>
    <row r="491" spans="1:27" x14ac:dyDescent="0.25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</row>
    <row r="492" spans="1:27" x14ac:dyDescent="0.25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</row>
    <row r="493" spans="1:27" x14ac:dyDescent="0.25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</row>
    <row r="494" spans="1:27" x14ac:dyDescent="0.25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</row>
    <row r="495" spans="1:27" x14ac:dyDescent="0.25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</row>
    <row r="496" spans="1:27" x14ac:dyDescent="0.25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</row>
    <row r="497" spans="1:27" x14ac:dyDescent="0.25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</row>
    <row r="498" spans="1:27" x14ac:dyDescent="0.25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</row>
    <row r="499" spans="1:27" x14ac:dyDescent="0.25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</row>
    <row r="500" spans="1:27" x14ac:dyDescent="0.25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</row>
    <row r="501" spans="1:27" x14ac:dyDescent="0.25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</row>
    <row r="502" spans="1:27" x14ac:dyDescent="0.25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</row>
    <row r="503" spans="1:27" x14ac:dyDescent="0.25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</row>
    <row r="504" spans="1:27" x14ac:dyDescent="0.25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</row>
    <row r="505" spans="1:27" x14ac:dyDescent="0.25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</row>
    <row r="506" spans="1:27" x14ac:dyDescent="0.25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</row>
    <row r="507" spans="1:27" x14ac:dyDescent="0.25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</row>
    <row r="508" spans="1:27" x14ac:dyDescent="0.25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</row>
    <row r="509" spans="1:27" x14ac:dyDescent="0.25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</row>
    <row r="510" spans="1:27" x14ac:dyDescent="0.25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</row>
    <row r="511" spans="1:27" x14ac:dyDescent="0.25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</row>
    <row r="512" spans="1:27" x14ac:dyDescent="0.25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</row>
    <row r="513" spans="1:27" x14ac:dyDescent="0.25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</row>
    <row r="514" spans="1:27" x14ac:dyDescent="0.25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</row>
    <row r="515" spans="1:27" x14ac:dyDescent="0.25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</row>
    <row r="516" spans="1:27" x14ac:dyDescent="0.25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</row>
    <row r="517" spans="1:27" x14ac:dyDescent="0.25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</row>
    <row r="518" spans="1:27" x14ac:dyDescent="0.25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</row>
    <row r="519" spans="1:27" x14ac:dyDescent="0.25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</row>
    <row r="520" spans="1:27" x14ac:dyDescent="0.25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</row>
    <row r="521" spans="1:27" x14ac:dyDescent="0.25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</row>
    <row r="522" spans="1:27" x14ac:dyDescent="0.25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</row>
    <row r="523" spans="1:27" x14ac:dyDescent="0.25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</row>
    <row r="524" spans="1:27" x14ac:dyDescent="0.25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</row>
    <row r="525" spans="1:27" x14ac:dyDescent="0.25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</row>
    <row r="526" spans="1:27" x14ac:dyDescent="0.25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</row>
    <row r="527" spans="1:27" x14ac:dyDescent="0.25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</row>
    <row r="528" spans="1:27" x14ac:dyDescent="0.25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</row>
    <row r="529" spans="1:27" x14ac:dyDescent="0.25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</row>
    <row r="530" spans="1:27" x14ac:dyDescent="0.25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</row>
    <row r="531" spans="1:27" x14ac:dyDescent="0.25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</row>
    <row r="532" spans="1:27" x14ac:dyDescent="0.25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</row>
    <row r="533" spans="1:27" x14ac:dyDescent="0.25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</row>
    <row r="534" spans="1:27" x14ac:dyDescent="0.25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</row>
    <row r="535" spans="1:27" x14ac:dyDescent="0.25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</row>
    <row r="536" spans="1:27" x14ac:dyDescent="0.25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</row>
    <row r="537" spans="1:27" x14ac:dyDescent="0.25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</row>
    <row r="538" spans="1:27" x14ac:dyDescent="0.25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</row>
    <row r="539" spans="1:27" x14ac:dyDescent="0.25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</row>
    <row r="540" spans="1:27" x14ac:dyDescent="0.25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</row>
    <row r="541" spans="1:27" x14ac:dyDescent="0.25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</row>
    <row r="542" spans="1:27" x14ac:dyDescent="0.25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</row>
    <row r="543" spans="1:27" x14ac:dyDescent="0.25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</row>
    <row r="544" spans="1:27" x14ac:dyDescent="0.25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</row>
    <row r="545" spans="1:27" x14ac:dyDescent="0.25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</row>
    <row r="546" spans="1:27" x14ac:dyDescent="0.25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</row>
    <row r="547" spans="1:27" x14ac:dyDescent="0.25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</row>
    <row r="548" spans="1:27" x14ac:dyDescent="0.25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</row>
    <row r="549" spans="1:27" x14ac:dyDescent="0.25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</row>
    <row r="550" spans="1:27" x14ac:dyDescent="0.25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</row>
    <row r="551" spans="1:27" x14ac:dyDescent="0.25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</row>
    <row r="552" spans="1:27" x14ac:dyDescent="0.25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</row>
    <row r="553" spans="1:27" x14ac:dyDescent="0.25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</row>
    <row r="554" spans="1:27" x14ac:dyDescent="0.25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</row>
    <row r="555" spans="1:27" x14ac:dyDescent="0.25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</row>
    <row r="556" spans="1:27" x14ac:dyDescent="0.25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</row>
    <row r="557" spans="1:27" x14ac:dyDescent="0.25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</row>
    <row r="558" spans="1:27" x14ac:dyDescent="0.25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</row>
    <row r="559" spans="1:27" x14ac:dyDescent="0.25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</row>
    <row r="560" spans="1:27" x14ac:dyDescent="0.25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</row>
    <row r="561" spans="1:27" x14ac:dyDescent="0.25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</row>
    <row r="562" spans="1:27" x14ac:dyDescent="0.25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</row>
    <row r="563" spans="1:27" x14ac:dyDescent="0.25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</row>
    <row r="564" spans="1:27" x14ac:dyDescent="0.25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</row>
    <row r="565" spans="1:27" x14ac:dyDescent="0.25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</row>
    <row r="566" spans="1:27" x14ac:dyDescent="0.25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</row>
    <row r="567" spans="1:27" x14ac:dyDescent="0.25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</row>
    <row r="568" spans="1:27" x14ac:dyDescent="0.25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</row>
    <row r="569" spans="1:27" x14ac:dyDescent="0.25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</row>
    <row r="570" spans="1:27" x14ac:dyDescent="0.25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</row>
    <row r="571" spans="1:27" x14ac:dyDescent="0.25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</row>
    <row r="572" spans="1:27" x14ac:dyDescent="0.25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</row>
    <row r="573" spans="1:27" x14ac:dyDescent="0.25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</row>
    <row r="574" spans="1:27" x14ac:dyDescent="0.25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</row>
    <row r="575" spans="1:27" x14ac:dyDescent="0.25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</row>
    <row r="576" spans="1:27" x14ac:dyDescent="0.25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</row>
    <row r="577" spans="1:27" x14ac:dyDescent="0.25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</row>
    <row r="578" spans="1:27" x14ac:dyDescent="0.25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</row>
    <row r="579" spans="1:27" x14ac:dyDescent="0.25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</row>
    <row r="580" spans="1:27" x14ac:dyDescent="0.25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</row>
    <row r="581" spans="1:27" x14ac:dyDescent="0.25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</row>
    <row r="582" spans="1:27" x14ac:dyDescent="0.25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</row>
    <row r="583" spans="1:27" x14ac:dyDescent="0.25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</row>
    <row r="584" spans="1:27" x14ac:dyDescent="0.25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</row>
    <row r="585" spans="1:27" x14ac:dyDescent="0.25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</row>
    <row r="586" spans="1:27" x14ac:dyDescent="0.25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</row>
    <row r="587" spans="1:27" x14ac:dyDescent="0.25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</row>
    <row r="588" spans="1:27" x14ac:dyDescent="0.25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</row>
    <row r="589" spans="1:27" x14ac:dyDescent="0.25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</row>
    <row r="590" spans="1:27" x14ac:dyDescent="0.25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</row>
    <row r="591" spans="1:27" x14ac:dyDescent="0.25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</row>
    <row r="592" spans="1:27" x14ac:dyDescent="0.25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</row>
    <row r="593" spans="1:27" x14ac:dyDescent="0.25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</row>
    <row r="594" spans="1:27" x14ac:dyDescent="0.25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</row>
    <row r="595" spans="1:27" x14ac:dyDescent="0.25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</row>
    <row r="596" spans="1:27" x14ac:dyDescent="0.25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</row>
    <row r="597" spans="1:27" x14ac:dyDescent="0.25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</row>
    <row r="598" spans="1:27" x14ac:dyDescent="0.25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</row>
    <row r="599" spans="1:27" x14ac:dyDescent="0.25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</row>
    <row r="600" spans="1:27" x14ac:dyDescent="0.25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</row>
    <row r="601" spans="1:27" x14ac:dyDescent="0.25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</row>
    <row r="602" spans="1:27" x14ac:dyDescent="0.25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</row>
    <row r="603" spans="1:27" x14ac:dyDescent="0.25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</row>
    <row r="604" spans="1:27" x14ac:dyDescent="0.25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  <c r="AA604" s="216"/>
    </row>
    <row r="605" spans="1:27" x14ac:dyDescent="0.25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  <c r="AA605" s="216"/>
    </row>
    <row r="606" spans="1:27" x14ac:dyDescent="0.25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  <c r="AA606" s="216"/>
    </row>
    <row r="607" spans="1:27" x14ac:dyDescent="0.25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  <c r="AA607" s="216"/>
    </row>
    <row r="608" spans="1:27" x14ac:dyDescent="0.25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</row>
    <row r="609" spans="1:27" x14ac:dyDescent="0.25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  <c r="AA609" s="216"/>
    </row>
    <row r="610" spans="1:27" x14ac:dyDescent="0.25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  <c r="AA610" s="216"/>
    </row>
    <row r="611" spans="1:27" x14ac:dyDescent="0.25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  <c r="AA611" s="216"/>
    </row>
    <row r="612" spans="1:27" x14ac:dyDescent="0.25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  <c r="AA612" s="216"/>
    </row>
    <row r="613" spans="1:27" x14ac:dyDescent="0.25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  <c r="AA613" s="216"/>
    </row>
    <row r="614" spans="1:27" x14ac:dyDescent="0.25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  <c r="AA614" s="216"/>
    </row>
    <row r="615" spans="1:27" x14ac:dyDescent="0.25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  <c r="AA615" s="216"/>
    </row>
    <row r="616" spans="1:27" x14ac:dyDescent="0.25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  <c r="AA616" s="216"/>
    </row>
    <row r="617" spans="1:27" x14ac:dyDescent="0.25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  <c r="AA617" s="216"/>
    </row>
    <row r="618" spans="1:27" x14ac:dyDescent="0.25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  <c r="AA618" s="216"/>
    </row>
    <row r="619" spans="1:27" x14ac:dyDescent="0.25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  <c r="AA619" s="216"/>
    </row>
    <row r="620" spans="1:27" x14ac:dyDescent="0.25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  <c r="AA620" s="216"/>
    </row>
    <row r="621" spans="1:27" x14ac:dyDescent="0.25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  <c r="AA621" s="216"/>
    </row>
    <row r="622" spans="1:27" x14ac:dyDescent="0.25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  <c r="AA622" s="216"/>
    </row>
    <row r="623" spans="1:27" x14ac:dyDescent="0.25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  <c r="AA623" s="216"/>
    </row>
    <row r="624" spans="1:27" x14ac:dyDescent="0.25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  <c r="AA624" s="216"/>
    </row>
    <row r="625" spans="1:27" x14ac:dyDescent="0.25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  <c r="AA625" s="216"/>
    </row>
    <row r="626" spans="1:27" x14ac:dyDescent="0.25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  <c r="AA626" s="216"/>
    </row>
    <row r="627" spans="1:27" x14ac:dyDescent="0.25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  <c r="AA627" s="216"/>
    </row>
    <row r="628" spans="1:27" x14ac:dyDescent="0.25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  <c r="AA628" s="216"/>
    </row>
    <row r="629" spans="1:27" x14ac:dyDescent="0.25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  <c r="AA629" s="216"/>
    </row>
    <row r="630" spans="1:27" x14ac:dyDescent="0.25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  <c r="AA630" s="216"/>
    </row>
    <row r="631" spans="1:27" x14ac:dyDescent="0.25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  <c r="AA631" s="216"/>
    </row>
    <row r="632" spans="1:27" x14ac:dyDescent="0.25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  <c r="AA632" s="216"/>
    </row>
    <row r="633" spans="1:27" x14ac:dyDescent="0.25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  <c r="AA633" s="216"/>
    </row>
    <row r="634" spans="1:27" x14ac:dyDescent="0.25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  <c r="AA634" s="216"/>
    </row>
    <row r="635" spans="1:27" x14ac:dyDescent="0.25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  <c r="AA635" s="216"/>
    </row>
    <row r="636" spans="1:27" x14ac:dyDescent="0.25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  <c r="AA636" s="216"/>
    </row>
    <row r="637" spans="1:27" x14ac:dyDescent="0.25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  <c r="AA637" s="216"/>
    </row>
    <row r="638" spans="1:27" x14ac:dyDescent="0.25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  <c r="AA638" s="216"/>
    </row>
    <row r="639" spans="1:27" x14ac:dyDescent="0.25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  <c r="AA639" s="216"/>
    </row>
    <row r="640" spans="1:27" x14ac:dyDescent="0.25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  <c r="AA640" s="216"/>
    </row>
    <row r="641" spans="1:27" x14ac:dyDescent="0.25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  <c r="AA641" s="216"/>
    </row>
    <row r="642" spans="1:27" x14ac:dyDescent="0.25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  <c r="AA642" s="216"/>
    </row>
    <row r="643" spans="1:27" x14ac:dyDescent="0.25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  <c r="AA643" s="216"/>
    </row>
    <row r="644" spans="1:27" x14ac:dyDescent="0.25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  <c r="AA644" s="216"/>
    </row>
    <row r="645" spans="1:27" x14ac:dyDescent="0.25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  <c r="AA645" s="216"/>
    </row>
    <row r="646" spans="1:27" x14ac:dyDescent="0.25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  <c r="AA646" s="216"/>
    </row>
    <row r="647" spans="1:27" x14ac:dyDescent="0.25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  <c r="AA647" s="216"/>
    </row>
    <row r="648" spans="1:27" x14ac:dyDescent="0.25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</row>
    <row r="649" spans="1:27" x14ac:dyDescent="0.25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  <c r="AA649" s="216"/>
    </row>
    <row r="650" spans="1:27" x14ac:dyDescent="0.25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</row>
    <row r="651" spans="1:27" x14ac:dyDescent="0.25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  <c r="AA651" s="216"/>
    </row>
    <row r="652" spans="1:27" x14ac:dyDescent="0.25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  <c r="AA652" s="216"/>
    </row>
    <row r="653" spans="1:27" x14ac:dyDescent="0.25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  <c r="AA653" s="216"/>
    </row>
    <row r="654" spans="1:27" x14ac:dyDescent="0.25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</row>
    <row r="655" spans="1:27" x14ac:dyDescent="0.25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  <c r="AA655" s="216"/>
    </row>
    <row r="656" spans="1:27" x14ac:dyDescent="0.25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</row>
    <row r="657" spans="1:27" x14ac:dyDescent="0.25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  <c r="AA657" s="216"/>
    </row>
    <row r="658" spans="1:27" x14ac:dyDescent="0.25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  <c r="AA658" s="216"/>
    </row>
    <row r="659" spans="1:27" x14ac:dyDescent="0.25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  <c r="AA659" s="216"/>
    </row>
    <row r="660" spans="1:27" x14ac:dyDescent="0.25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  <c r="AA660" s="216"/>
    </row>
    <row r="661" spans="1:27" x14ac:dyDescent="0.25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  <c r="AA661" s="216"/>
    </row>
    <row r="662" spans="1:27" x14ac:dyDescent="0.25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  <c r="AA662" s="216"/>
    </row>
    <row r="663" spans="1:27" x14ac:dyDescent="0.25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  <c r="AA663" s="216"/>
    </row>
    <row r="664" spans="1:27" x14ac:dyDescent="0.25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</row>
    <row r="665" spans="1:27" x14ac:dyDescent="0.25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  <c r="AA665" s="216"/>
    </row>
    <row r="666" spans="1:27" x14ac:dyDescent="0.25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</row>
    <row r="667" spans="1:27" x14ac:dyDescent="0.25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  <c r="AA667" s="216"/>
    </row>
    <row r="668" spans="1:27" x14ac:dyDescent="0.25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  <c r="AA668" s="216"/>
    </row>
    <row r="669" spans="1:27" x14ac:dyDescent="0.25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  <c r="AA669" s="216"/>
    </row>
    <row r="670" spans="1:27" x14ac:dyDescent="0.25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  <c r="AA670" s="216"/>
    </row>
    <row r="671" spans="1:27" x14ac:dyDescent="0.25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  <c r="AA671" s="216"/>
    </row>
    <row r="672" spans="1:27" x14ac:dyDescent="0.25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  <c r="AA672" s="216"/>
    </row>
    <row r="673" spans="1:27" x14ac:dyDescent="0.25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  <c r="AA673" s="216"/>
    </row>
    <row r="674" spans="1:27" x14ac:dyDescent="0.25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</row>
    <row r="675" spans="1:27" x14ac:dyDescent="0.25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  <c r="AA675" s="216"/>
    </row>
    <row r="676" spans="1:27" x14ac:dyDescent="0.25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  <c r="AA676" s="216"/>
    </row>
    <row r="677" spans="1:27" x14ac:dyDescent="0.25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  <c r="AA677" s="216"/>
    </row>
    <row r="678" spans="1:27" x14ac:dyDescent="0.25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  <c r="AA678" s="216"/>
    </row>
    <row r="679" spans="1:27" x14ac:dyDescent="0.25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  <c r="AA679" s="216"/>
    </row>
    <row r="680" spans="1:27" x14ac:dyDescent="0.25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  <c r="AA680" s="216"/>
    </row>
    <row r="681" spans="1:27" x14ac:dyDescent="0.25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  <c r="AA681" s="216"/>
    </row>
    <row r="682" spans="1:27" x14ac:dyDescent="0.25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  <c r="AA682" s="216"/>
    </row>
    <row r="683" spans="1:27" x14ac:dyDescent="0.25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  <c r="AA683" s="216"/>
    </row>
    <row r="684" spans="1:27" x14ac:dyDescent="0.25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  <c r="AA684" s="216"/>
    </row>
    <row r="685" spans="1:27" x14ac:dyDescent="0.25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  <c r="AA685" s="216"/>
    </row>
    <row r="686" spans="1:27" x14ac:dyDescent="0.25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  <c r="AA686" s="216"/>
    </row>
    <row r="687" spans="1:27" x14ac:dyDescent="0.25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  <c r="AA687" s="216"/>
    </row>
    <row r="688" spans="1:27" x14ac:dyDescent="0.25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  <c r="AA688" s="216"/>
    </row>
    <row r="689" spans="1:27" x14ac:dyDescent="0.25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  <c r="AA689" s="216"/>
    </row>
    <row r="690" spans="1:27" x14ac:dyDescent="0.25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  <c r="AA690" s="216"/>
    </row>
    <row r="691" spans="1:27" x14ac:dyDescent="0.25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  <c r="AA691" s="216"/>
    </row>
    <row r="692" spans="1:27" x14ac:dyDescent="0.25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</row>
    <row r="693" spans="1:27" x14ac:dyDescent="0.25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  <c r="AA693" s="216"/>
    </row>
    <row r="694" spans="1:27" x14ac:dyDescent="0.25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  <c r="AA694" s="216"/>
    </row>
    <row r="695" spans="1:27" x14ac:dyDescent="0.25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  <c r="AA695" s="216"/>
    </row>
    <row r="696" spans="1:27" x14ac:dyDescent="0.25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  <c r="AA696" s="216"/>
    </row>
    <row r="697" spans="1:27" x14ac:dyDescent="0.25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  <c r="AA697" s="216"/>
    </row>
    <row r="698" spans="1:27" x14ac:dyDescent="0.25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  <c r="AA698" s="216"/>
    </row>
    <row r="699" spans="1:27" x14ac:dyDescent="0.25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  <c r="AA699" s="216"/>
    </row>
    <row r="700" spans="1:27" x14ac:dyDescent="0.25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</row>
    <row r="701" spans="1:27" x14ac:dyDescent="0.25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  <c r="AA701" s="216"/>
    </row>
    <row r="702" spans="1:27" x14ac:dyDescent="0.25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</row>
    <row r="703" spans="1:27" x14ac:dyDescent="0.25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  <c r="AA703" s="216"/>
    </row>
    <row r="704" spans="1:27" x14ac:dyDescent="0.25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</row>
    <row r="705" spans="1:27" x14ac:dyDescent="0.25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  <c r="AA705" s="216"/>
    </row>
    <row r="706" spans="1:27" x14ac:dyDescent="0.25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</row>
    <row r="707" spans="1:27" x14ac:dyDescent="0.25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  <c r="AA707" s="216"/>
    </row>
    <row r="708" spans="1:27" x14ac:dyDescent="0.25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  <c r="AA708" s="216"/>
    </row>
    <row r="709" spans="1:27" x14ac:dyDescent="0.25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  <c r="AA709" s="216"/>
    </row>
    <row r="710" spans="1:27" x14ac:dyDescent="0.25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</row>
    <row r="711" spans="1:27" x14ac:dyDescent="0.25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  <c r="AA711" s="216"/>
    </row>
    <row r="712" spans="1:27" x14ac:dyDescent="0.25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</row>
    <row r="713" spans="1:27" x14ac:dyDescent="0.25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  <c r="AA713" s="216"/>
    </row>
    <row r="714" spans="1:27" x14ac:dyDescent="0.25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</row>
    <row r="715" spans="1:27" x14ac:dyDescent="0.25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  <c r="AA715" s="216"/>
    </row>
    <row r="716" spans="1:27" x14ac:dyDescent="0.25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</row>
    <row r="717" spans="1:27" x14ac:dyDescent="0.25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  <c r="AA717" s="216"/>
    </row>
    <row r="718" spans="1:27" x14ac:dyDescent="0.25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</row>
    <row r="719" spans="1:27" x14ac:dyDescent="0.25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  <c r="AA719" s="216"/>
    </row>
    <row r="720" spans="1:27" x14ac:dyDescent="0.25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</row>
    <row r="721" spans="1:27" x14ac:dyDescent="0.25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  <c r="AA721" s="216"/>
    </row>
    <row r="722" spans="1:27" x14ac:dyDescent="0.25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</row>
    <row r="723" spans="1:27" x14ac:dyDescent="0.25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  <c r="AA723" s="216"/>
    </row>
    <row r="724" spans="1:27" x14ac:dyDescent="0.25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</row>
    <row r="725" spans="1:27" x14ac:dyDescent="0.25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  <c r="AA725" s="216"/>
    </row>
    <row r="726" spans="1:27" x14ac:dyDescent="0.25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</row>
    <row r="727" spans="1:27" x14ac:dyDescent="0.25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  <c r="AA727" s="216"/>
    </row>
    <row r="728" spans="1:27" x14ac:dyDescent="0.25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</row>
    <row r="729" spans="1:27" x14ac:dyDescent="0.25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</row>
    <row r="730" spans="1:27" x14ac:dyDescent="0.25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</row>
    <row r="731" spans="1:27" x14ac:dyDescent="0.25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  <c r="AA731" s="216"/>
    </row>
    <row r="732" spans="1:27" x14ac:dyDescent="0.25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</row>
    <row r="733" spans="1:27" x14ac:dyDescent="0.25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  <c r="AA733" s="216"/>
    </row>
    <row r="734" spans="1:27" x14ac:dyDescent="0.25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</row>
    <row r="735" spans="1:27" x14ac:dyDescent="0.25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  <c r="AA735" s="216"/>
    </row>
    <row r="736" spans="1:27" x14ac:dyDescent="0.25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</row>
    <row r="737" spans="1:27" x14ac:dyDescent="0.25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  <c r="AA737" s="216"/>
    </row>
    <row r="738" spans="1:27" x14ac:dyDescent="0.25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</row>
    <row r="739" spans="1:27" x14ac:dyDescent="0.25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  <c r="AA739" s="216"/>
    </row>
    <row r="740" spans="1:27" x14ac:dyDescent="0.25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</row>
    <row r="741" spans="1:27" x14ac:dyDescent="0.25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  <c r="AA741" s="216"/>
    </row>
    <row r="742" spans="1:27" x14ac:dyDescent="0.25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</row>
    <row r="743" spans="1:27" x14ac:dyDescent="0.25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  <c r="AA743" s="216"/>
    </row>
    <row r="744" spans="1:27" x14ac:dyDescent="0.25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</row>
    <row r="745" spans="1:27" x14ac:dyDescent="0.25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  <c r="AA745" s="216"/>
    </row>
    <row r="746" spans="1:27" x14ac:dyDescent="0.25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</row>
    <row r="747" spans="1:27" x14ac:dyDescent="0.25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  <c r="AA747" s="216"/>
    </row>
    <row r="748" spans="1:27" x14ac:dyDescent="0.25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</row>
    <row r="749" spans="1:27" x14ac:dyDescent="0.25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  <c r="AA749" s="216"/>
    </row>
    <row r="750" spans="1:27" x14ac:dyDescent="0.25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</row>
    <row r="751" spans="1:27" x14ac:dyDescent="0.25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  <c r="AA751" s="216"/>
    </row>
    <row r="752" spans="1:27" x14ac:dyDescent="0.25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</row>
    <row r="753" spans="1:27" x14ac:dyDescent="0.25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  <c r="AA753" s="216"/>
    </row>
    <row r="754" spans="1:27" x14ac:dyDescent="0.25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</row>
    <row r="755" spans="1:27" x14ac:dyDescent="0.25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  <c r="AA755" s="216"/>
    </row>
    <row r="756" spans="1:27" x14ac:dyDescent="0.25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</row>
    <row r="757" spans="1:27" x14ac:dyDescent="0.25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  <c r="AA757" s="216"/>
    </row>
    <row r="758" spans="1:27" x14ac:dyDescent="0.25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</row>
    <row r="759" spans="1:27" x14ac:dyDescent="0.25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  <c r="AA759" s="216"/>
    </row>
    <row r="760" spans="1:27" x14ac:dyDescent="0.25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</row>
    <row r="761" spans="1:27" x14ac:dyDescent="0.25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  <c r="AA761" s="216"/>
    </row>
    <row r="762" spans="1:27" x14ac:dyDescent="0.25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</row>
    <row r="763" spans="1:27" x14ac:dyDescent="0.25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  <c r="AA763" s="216"/>
    </row>
    <row r="764" spans="1:27" x14ac:dyDescent="0.25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</row>
    <row r="765" spans="1:27" x14ac:dyDescent="0.25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  <c r="AA765" s="216"/>
    </row>
    <row r="766" spans="1:27" x14ac:dyDescent="0.25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</row>
    <row r="767" spans="1:27" x14ac:dyDescent="0.25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  <c r="AA767" s="216"/>
    </row>
    <row r="768" spans="1:27" x14ac:dyDescent="0.25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</row>
    <row r="769" spans="1:27" x14ac:dyDescent="0.25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  <c r="AA769" s="216"/>
    </row>
    <row r="770" spans="1:27" x14ac:dyDescent="0.25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</row>
    <row r="771" spans="1:27" x14ac:dyDescent="0.25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  <c r="AA771" s="216"/>
    </row>
    <row r="772" spans="1:27" x14ac:dyDescent="0.25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</row>
    <row r="773" spans="1:27" x14ac:dyDescent="0.25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  <c r="AA773" s="216"/>
    </row>
    <row r="774" spans="1:27" x14ac:dyDescent="0.25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</row>
    <row r="775" spans="1:27" x14ac:dyDescent="0.25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  <c r="AA775" s="216"/>
    </row>
    <row r="776" spans="1:27" x14ac:dyDescent="0.25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</row>
    <row r="777" spans="1:27" x14ac:dyDescent="0.25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  <c r="AA777" s="216"/>
    </row>
    <row r="778" spans="1:27" x14ac:dyDescent="0.25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</row>
    <row r="779" spans="1:27" x14ac:dyDescent="0.25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  <c r="AA779" s="216"/>
    </row>
    <row r="780" spans="1:27" x14ac:dyDescent="0.25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</row>
    <row r="781" spans="1:27" x14ac:dyDescent="0.25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  <c r="AA781" s="216"/>
    </row>
    <row r="782" spans="1:27" x14ac:dyDescent="0.25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</row>
    <row r="783" spans="1:27" x14ac:dyDescent="0.25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  <c r="AA783" s="216"/>
    </row>
    <row r="784" spans="1:27" x14ac:dyDescent="0.25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</row>
    <row r="785" spans="1:27" x14ac:dyDescent="0.25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  <c r="AA785" s="216"/>
    </row>
    <row r="786" spans="1:27" x14ac:dyDescent="0.25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</row>
    <row r="787" spans="1:27" x14ac:dyDescent="0.25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  <c r="AA787" s="216"/>
    </row>
    <row r="788" spans="1:27" x14ac:dyDescent="0.25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</row>
    <row r="789" spans="1:27" x14ac:dyDescent="0.25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  <c r="AA789" s="216"/>
    </row>
    <row r="790" spans="1:27" x14ac:dyDescent="0.25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</row>
    <row r="791" spans="1:27" x14ac:dyDescent="0.25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  <c r="AA791" s="216"/>
    </row>
    <row r="792" spans="1:27" x14ac:dyDescent="0.25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</row>
    <row r="793" spans="1:27" x14ac:dyDescent="0.25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  <c r="AA793" s="216"/>
    </row>
    <row r="794" spans="1:27" x14ac:dyDescent="0.25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</row>
    <row r="795" spans="1:27" x14ac:dyDescent="0.25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  <c r="AA795" s="216"/>
    </row>
    <row r="796" spans="1:27" x14ac:dyDescent="0.25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</row>
    <row r="797" spans="1:27" x14ac:dyDescent="0.25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  <c r="AA797" s="216"/>
    </row>
    <row r="798" spans="1:27" x14ac:dyDescent="0.25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</row>
    <row r="799" spans="1:27" x14ac:dyDescent="0.25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  <c r="AA799" s="216"/>
    </row>
    <row r="800" spans="1:27" x14ac:dyDescent="0.25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</row>
    <row r="801" spans="1:27" x14ac:dyDescent="0.25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  <c r="AA801" s="216"/>
    </row>
    <row r="802" spans="1:27" x14ac:dyDescent="0.25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</row>
    <row r="803" spans="1:27" x14ac:dyDescent="0.25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  <c r="AA803" s="216"/>
    </row>
    <row r="804" spans="1:27" x14ac:dyDescent="0.25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</row>
    <row r="805" spans="1:27" x14ac:dyDescent="0.25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  <c r="AA805" s="216"/>
    </row>
    <row r="806" spans="1:27" x14ac:dyDescent="0.25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</row>
    <row r="807" spans="1:27" x14ac:dyDescent="0.25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  <c r="AA807" s="216"/>
    </row>
    <row r="808" spans="1:27" x14ac:dyDescent="0.25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</row>
    <row r="809" spans="1:27" x14ac:dyDescent="0.25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  <c r="AA809" s="216"/>
    </row>
    <row r="810" spans="1:27" x14ac:dyDescent="0.25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</row>
    <row r="811" spans="1:27" x14ac:dyDescent="0.25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  <c r="AA811" s="216"/>
    </row>
    <row r="812" spans="1:27" x14ac:dyDescent="0.25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</row>
    <row r="813" spans="1:27" x14ac:dyDescent="0.25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  <c r="AA813" s="216"/>
    </row>
    <row r="814" spans="1:27" x14ac:dyDescent="0.25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</row>
    <row r="815" spans="1:27" x14ac:dyDescent="0.25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  <c r="AA815" s="216"/>
    </row>
    <row r="816" spans="1:27" x14ac:dyDescent="0.25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</row>
    <row r="817" spans="1:27" x14ac:dyDescent="0.25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  <c r="AA817" s="216"/>
    </row>
    <row r="818" spans="1:27" x14ac:dyDescent="0.25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</row>
    <row r="819" spans="1:27" x14ac:dyDescent="0.25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  <c r="AA819" s="216"/>
    </row>
    <row r="820" spans="1:27" x14ac:dyDescent="0.25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</row>
    <row r="821" spans="1:27" x14ac:dyDescent="0.25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  <c r="AA821" s="216"/>
    </row>
    <row r="822" spans="1:27" x14ac:dyDescent="0.25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</row>
    <row r="823" spans="1:27" x14ac:dyDescent="0.25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  <c r="AA823" s="216"/>
    </row>
    <row r="824" spans="1:27" x14ac:dyDescent="0.25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</row>
    <row r="825" spans="1:27" x14ac:dyDescent="0.25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  <c r="AA825" s="216"/>
    </row>
    <row r="826" spans="1:27" x14ac:dyDescent="0.25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</row>
    <row r="827" spans="1:27" x14ac:dyDescent="0.25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  <c r="AA827" s="216"/>
    </row>
    <row r="828" spans="1:27" x14ac:dyDescent="0.25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</row>
    <row r="829" spans="1:27" x14ac:dyDescent="0.25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  <c r="AA829" s="216"/>
    </row>
    <row r="830" spans="1:27" x14ac:dyDescent="0.25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</row>
    <row r="831" spans="1:27" x14ac:dyDescent="0.25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  <c r="AA831" s="216"/>
    </row>
    <row r="832" spans="1:27" x14ac:dyDescent="0.25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</row>
    <row r="833" spans="1:27" x14ac:dyDescent="0.25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  <c r="AA833" s="216"/>
    </row>
    <row r="834" spans="1:27" x14ac:dyDescent="0.25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</row>
    <row r="835" spans="1:27" x14ac:dyDescent="0.25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  <c r="AA835" s="216"/>
    </row>
    <row r="836" spans="1:27" x14ac:dyDescent="0.25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</row>
    <row r="837" spans="1:27" x14ac:dyDescent="0.25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  <c r="AA837" s="216"/>
    </row>
    <row r="838" spans="1:27" x14ac:dyDescent="0.25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</row>
    <row r="839" spans="1:27" x14ac:dyDescent="0.25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  <c r="AA839" s="216"/>
    </row>
    <row r="840" spans="1:27" x14ac:dyDescent="0.25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</row>
    <row r="841" spans="1:27" x14ac:dyDescent="0.25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  <c r="AA841" s="216"/>
    </row>
    <row r="842" spans="1:27" x14ac:dyDescent="0.25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</row>
    <row r="843" spans="1:27" x14ac:dyDescent="0.25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  <c r="AA843" s="216"/>
    </row>
    <row r="844" spans="1:27" x14ac:dyDescent="0.25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</row>
    <row r="845" spans="1:27" x14ac:dyDescent="0.25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  <c r="AA845" s="216"/>
    </row>
    <row r="846" spans="1:27" x14ac:dyDescent="0.25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</row>
    <row r="847" spans="1:27" x14ac:dyDescent="0.25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  <c r="AA847" s="216"/>
    </row>
    <row r="848" spans="1:27" x14ac:dyDescent="0.25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</row>
    <row r="849" spans="1:27" x14ac:dyDescent="0.25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  <c r="AA849" s="216"/>
    </row>
    <row r="850" spans="1:27" x14ac:dyDescent="0.25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</row>
    <row r="851" spans="1:27" x14ac:dyDescent="0.25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  <c r="AA851" s="216"/>
    </row>
    <row r="852" spans="1:27" x14ac:dyDescent="0.25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</row>
    <row r="853" spans="1:27" x14ac:dyDescent="0.25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  <c r="AA853" s="216"/>
    </row>
    <row r="854" spans="1:27" x14ac:dyDescent="0.25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</row>
    <row r="855" spans="1:27" x14ac:dyDescent="0.25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  <c r="AA855" s="216"/>
    </row>
    <row r="856" spans="1:27" x14ac:dyDescent="0.25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</row>
    <row r="857" spans="1:27" x14ac:dyDescent="0.25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  <c r="AA857" s="216"/>
    </row>
    <row r="858" spans="1:27" x14ac:dyDescent="0.25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</row>
    <row r="859" spans="1:27" x14ac:dyDescent="0.25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</row>
    <row r="860" spans="1:27" x14ac:dyDescent="0.25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</row>
    <row r="861" spans="1:27" x14ac:dyDescent="0.25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  <c r="AA861" s="216"/>
    </row>
    <row r="862" spans="1:27" x14ac:dyDescent="0.25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</row>
    <row r="863" spans="1:27" x14ac:dyDescent="0.25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  <c r="AA863" s="216"/>
    </row>
    <row r="864" spans="1:27" x14ac:dyDescent="0.25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</row>
    <row r="865" spans="1:27" x14ac:dyDescent="0.25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  <c r="AA865" s="216"/>
    </row>
    <row r="866" spans="1:27" x14ac:dyDescent="0.25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</row>
    <row r="867" spans="1:27" x14ac:dyDescent="0.25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  <c r="AA867" s="216"/>
    </row>
    <row r="868" spans="1:27" x14ac:dyDescent="0.25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</row>
    <row r="869" spans="1:27" x14ac:dyDescent="0.25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  <c r="AA869" s="216"/>
    </row>
    <row r="870" spans="1:27" x14ac:dyDescent="0.25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</row>
    <row r="871" spans="1:27" x14ac:dyDescent="0.25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  <c r="AA871" s="216"/>
    </row>
    <row r="872" spans="1:27" x14ac:dyDescent="0.25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</row>
    <row r="873" spans="1:27" x14ac:dyDescent="0.25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  <c r="AA873" s="216"/>
    </row>
    <row r="874" spans="1:27" x14ac:dyDescent="0.25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</row>
    <row r="875" spans="1:27" x14ac:dyDescent="0.25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  <c r="AA875" s="216"/>
    </row>
    <row r="876" spans="1:27" x14ac:dyDescent="0.25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</row>
    <row r="877" spans="1:27" x14ac:dyDescent="0.25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  <c r="AA877" s="216"/>
    </row>
    <row r="878" spans="1:27" x14ac:dyDescent="0.25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</row>
    <row r="879" spans="1:27" x14ac:dyDescent="0.25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  <c r="AA879" s="216"/>
    </row>
    <row r="880" spans="1:27" x14ac:dyDescent="0.25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</row>
    <row r="881" spans="1:27" x14ac:dyDescent="0.25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  <c r="AA881" s="216"/>
    </row>
    <row r="882" spans="1:27" x14ac:dyDescent="0.25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</row>
    <row r="883" spans="1:27" x14ac:dyDescent="0.25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  <c r="AA883" s="216"/>
    </row>
    <row r="884" spans="1:27" x14ac:dyDescent="0.25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</row>
    <row r="885" spans="1:27" x14ac:dyDescent="0.25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  <c r="AA885" s="216"/>
    </row>
    <row r="886" spans="1:27" x14ac:dyDescent="0.25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</row>
    <row r="887" spans="1:27" x14ac:dyDescent="0.25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</row>
    <row r="888" spans="1:27" x14ac:dyDescent="0.25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</row>
    <row r="889" spans="1:27" x14ac:dyDescent="0.25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  <c r="AA889" s="216"/>
    </row>
    <row r="890" spans="1:27" x14ac:dyDescent="0.25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</row>
    <row r="891" spans="1:27" x14ac:dyDescent="0.25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  <c r="AA891" s="216"/>
    </row>
    <row r="892" spans="1:27" x14ac:dyDescent="0.25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</row>
    <row r="893" spans="1:27" x14ac:dyDescent="0.25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  <c r="AA893" s="216"/>
    </row>
    <row r="894" spans="1:27" x14ac:dyDescent="0.25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</row>
    <row r="895" spans="1:27" x14ac:dyDescent="0.25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  <c r="AA895" s="216"/>
    </row>
    <row r="896" spans="1:27" x14ac:dyDescent="0.25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</row>
    <row r="897" spans="1:27" x14ac:dyDescent="0.25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  <c r="AA897" s="216"/>
    </row>
    <row r="898" spans="1:27" x14ac:dyDescent="0.25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</row>
    <row r="899" spans="1:27" x14ac:dyDescent="0.25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  <c r="AA899" s="216"/>
    </row>
    <row r="900" spans="1:27" x14ac:dyDescent="0.25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</row>
    <row r="901" spans="1:27" x14ac:dyDescent="0.25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  <c r="AA901" s="216"/>
    </row>
    <row r="902" spans="1:27" x14ac:dyDescent="0.25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</row>
    <row r="903" spans="1:27" x14ac:dyDescent="0.25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  <c r="AA903" s="216"/>
    </row>
    <row r="904" spans="1:27" x14ac:dyDescent="0.25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</row>
    <row r="905" spans="1:27" x14ac:dyDescent="0.25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  <c r="AA905" s="216"/>
    </row>
    <row r="906" spans="1:27" x14ac:dyDescent="0.25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</row>
    <row r="907" spans="1:27" x14ac:dyDescent="0.25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  <c r="AA907" s="216"/>
    </row>
    <row r="908" spans="1:27" x14ac:dyDescent="0.25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</row>
    <row r="909" spans="1:27" x14ac:dyDescent="0.25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  <c r="AA909" s="216"/>
    </row>
    <row r="910" spans="1:27" x14ac:dyDescent="0.25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</row>
    <row r="911" spans="1:27" x14ac:dyDescent="0.25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  <c r="AA911" s="216"/>
    </row>
    <row r="912" spans="1:27" x14ac:dyDescent="0.25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</row>
    <row r="913" spans="1:27" x14ac:dyDescent="0.25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  <c r="AA913" s="216"/>
    </row>
    <row r="914" spans="1:27" x14ac:dyDescent="0.25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</row>
    <row r="915" spans="1:27" x14ac:dyDescent="0.25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  <c r="AA915" s="216"/>
    </row>
    <row r="916" spans="1:27" x14ac:dyDescent="0.25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</row>
    <row r="917" spans="1:27" x14ac:dyDescent="0.25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  <c r="AA917" s="216"/>
    </row>
    <row r="918" spans="1:27" x14ac:dyDescent="0.25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</row>
    <row r="919" spans="1:27" x14ac:dyDescent="0.25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  <c r="AA919" s="216"/>
    </row>
    <row r="920" spans="1:27" x14ac:dyDescent="0.25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</row>
    <row r="921" spans="1:27" x14ac:dyDescent="0.25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  <c r="AA921" s="216"/>
    </row>
    <row r="922" spans="1:27" x14ac:dyDescent="0.25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</row>
    <row r="923" spans="1:27" x14ac:dyDescent="0.25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  <c r="AA923" s="216"/>
    </row>
    <row r="924" spans="1:27" x14ac:dyDescent="0.25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</row>
    <row r="925" spans="1:27" x14ac:dyDescent="0.25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  <c r="AA925" s="216"/>
    </row>
    <row r="926" spans="1:27" x14ac:dyDescent="0.25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</row>
    <row r="927" spans="1:27" x14ac:dyDescent="0.25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  <c r="AA927" s="216"/>
    </row>
    <row r="928" spans="1:27" x14ac:dyDescent="0.25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</row>
    <row r="929" spans="1:27" x14ac:dyDescent="0.25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  <c r="AA929" s="216"/>
    </row>
    <row r="930" spans="1:27" x14ac:dyDescent="0.25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</row>
    <row r="931" spans="1:27" x14ac:dyDescent="0.25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  <c r="AA931" s="216"/>
    </row>
    <row r="932" spans="1:27" x14ac:dyDescent="0.25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</row>
    <row r="933" spans="1:27" x14ac:dyDescent="0.25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  <c r="AA933" s="216"/>
    </row>
    <row r="934" spans="1:27" x14ac:dyDescent="0.25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</row>
    <row r="935" spans="1:27" x14ac:dyDescent="0.25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  <c r="AA935" s="216"/>
    </row>
    <row r="936" spans="1:27" x14ac:dyDescent="0.25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</row>
    <row r="937" spans="1:27" x14ac:dyDescent="0.25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  <c r="AA937" s="216"/>
    </row>
    <row r="938" spans="1:27" x14ac:dyDescent="0.25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</row>
    <row r="939" spans="1:27" x14ac:dyDescent="0.25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  <c r="AA939" s="216"/>
    </row>
    <row r="940" spans="1:27" x14ac:dyDescent="0.25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</row>
    <row r="941" spans="1:27" x14ac:dyDescent="0.25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  <c r="AA941" s="216"/>
    </row>
    <row r="942" spans="1:27" x14ac:dyDescent="0.25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</row>
    <row r="943" spans="1:27" x14ac:dyDescent="0.25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  <c r="AA943" s="216"/>
    </row>
    <row r="944" spans="1:27" x14ac:dyDescent="0.25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</row>
    <row r="945" spans="1:27" x14ac:dyDescent="0.25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  <c r="AA945" s="216"/>
    </row>
    <row r="946" spans="1:27" x14ac:dyDescent="0.25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  <c r="AA946" s="216"/>
    </row>
    <row r="947" spans="1:27" x14ac:dyDescent="0.25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  <c r="AA947" s="216"/>
    </row>
    <row r="948" spans="1:27" x14ac:dyDescent="0.25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  <c r="AA948" s="216"/>
    </row>
    <row r="949" spans="1:27" x14ac:dyDescent="0.25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  <c r="AA949" s="216"/>
    </row>
    <row r="950" spans="1:27" x14ac:dyDescent="0.25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  <c r="AA950" s="216"/>
    </row>
    <row r="951" spans="1:27" x14ac:dyDescent="0.25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  <c r="AA951" s="216"/>
    </row>
    <row r="952" spans="1:27" x14ac:dyDescent="0.25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  <c r="AA952" s="216"/>
    </row>
    <row r="953" spans="1:27" x14ac:dyDescent="0.25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  <c r="AA953" s="216"/>
    </row>
    <row r="954" spans="1:27" x14ac:dyDescent="0.25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  <c r="AA954" s="216"/>
    </row>
    <row r="955" spans="1:27" x14ac:dyDescent="0.25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  <c r="AA955" s="216"/>
    </row>
    <row r="956" spans="1:27" x14ac:dyDescent="0.25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  <c r="AA956" s="216"/>
    </row>
    <row r="957" spans="1:27" x14ac:dyDescent="0.25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  <c r="AA957" s="216"/>
    </row>
    <row r="958" spans="1:27" x14ac:dyDescent="0.25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</row>
    <row r="959" spans="1:27" x14ac:dyDescent="0.25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  <c r="AA959" s="216"/>
    </row>
    <row r="960" spans="1:27" x14ac:dyDescent="0.25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</row>
    <row r="961" spans="1:27" x14ac:dyDescent="0.25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  <c r="AA961" s="216"/>
    </row>
    <row r="962" spans="1:27" x14ac:dyDescent="0.25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</row>
    <row r="963" spans="1:27" x14ac:dyDescent="0.25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  <c r="AA963" s="216"/>
    </row>
    <row r="964" spans="1:27" x14ac:dyDescent="0.25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</row>
    <row r="965" spans="1:27" x14ac:dyDescent="0.25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  <c r="AA965" s="216"/>
    </row>
    <row r="966" spans="1:27" x14ac:dyDescent="0.25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</row>
    <row r="967" spans="1:27" x14ac:dyDescent="0.25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  <c r="AA967" s="216"/>
    </row>
    <row r="968" spans="1:27" x14ac:dyDescent="0.25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</row>
    <row r="969" spans="1:27" x14ac:dyDescent="0.25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  <c r="AA969" s="216"/>
    </row>
    <row r="970" spans="1:27" x14ac:dyDescent="0.25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</row>
    <row r="971" spans="1:27" x14ac:dyDescent="0.25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  <c r="AA971" s="216"/>
    </row>
    <row r="972" spans="1:27" x14ac:dyDescent="0.25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</row>
    <row r="973" spans="1:27" x14ac:dyDescent="0.25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  <c r="AA973" s="216"/>
    </row>
    <row r="974" spans="1:27" x14ac:dyDescent="0.25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</row>
    <row r="975" spans="1:27" x14ac:dyDescent="0.25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  <c r="AA975" s="216"/>
    </row>
    <row r="976" spans="1:27" x14ac:dyDescent="0.25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</row>
    <row r="977" spans="1:27" x14ac:dyDescent="0.25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  <c r="AA977" s="216"/>
    </row>
    <row r="978" spans="1:27" x14ac:dyDescent="0.25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</row>
    <row r="979" spans="1:27" x14ac:dyDescent="0.25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  <c r="AA979" s="216"/>
    </row>
    <row r="980" spans="1:27" x14ac:dyDescent="0.25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</row>
    <row r="981" spans="1:27" x14ac:dyDescent="0.25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  <c r="AA981" s="216"/>
    </row>
    <row r="982" spans="1:27" x14ac:dyDescent="0.25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</row>
    <row r="983" spans="1:27" x14ac:dyDescent="0.25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  <c r="AA983" s="216"/>
    </row>
    <row r="984" spans="1:27" x14ac:dyDescent="0.25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</row>
    <row r="985" spans="1:27" x14ac:dyDescent="0.25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  <c r="AA985" s="216"/>
    </row>
    <row r="986" spans="1:27" x14ac:dyDescent="0.25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</row>
    <row r="987" spans="1:27" x14ac:dyDescent="0.25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  <c r="AA987" s="216"/>
    </row>
    <row r="988" spans="1:27" x14ac:dyDescent="0.25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</row>
    <row r="989" spans="1:27" x14ac:dyDescent="0.25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  <c r="AA989" s="216"/>
    </row>
    <row r="990" spans="1:27" x14ac:dyDescent="0.25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  <c r="AA990" s="216"/>
    </row>
    <row r="991" spans="1:27" x14ac:dyDescent="0.25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  <c r="AA991" s="216"/>
    </row>
    <row r="992" spans="1:27" x14ac:dyDescent="0.25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  <c r="AA992" s="216"/>
    </row>
    <row r="993" spans="1:27" x14ac:dyDescent="0.25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  <c r="AA993" s="216"/>
    </row>
    <row r="994" spans="1:27" x14ac:dyDescent="0.25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  <c r="AA994" s="216"/>
    </row>
    <row r="995" spans="1:27" x14ac:dyDescent="0.25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  <c r="AA995" s="216"/>
    </row>
    <row r="996" spans="1:27" x14ac:dyDescent="0.25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  <c r="AA996" s="216"/>
    </row>
    <row r="997" spans="1:27" x14ac:dyDescent="0.25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  <c r="AA997" s="216"/>
    </row>
    <row r="998" spans="1:27" x14ac:dyDescent="0.25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  <c r="AA998" s="216"/>
    </row>
    <row r="999" spans="1:27" x14ac:dyDescent="0.25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  <c r="AA999" s="216"/>
    </row>
    <row r="1000" spans="1:27" x14ac:dyDescent="0.25">
      <c r="A1000" s="216"/>
      <c r="B1000" s="216"/>
      <c r="C1000" s="216"/>
      <c r="D1000" s="216"/>
      <c r="E1000" s="216"/>
      <c r="F1000" s="216"/>
      <c r="G1000" s="216"/>
      <c r="H1000" s="216"/>
      <c r="I1000" s="216"/>
      <c r="J1000" s="216"/>
      <c r="K1000" s="216"/>
      <c r="L1000" s="216"/>
      <c r="M1000" s="216"/>
      <c r="N1000" s="216"/>
      <c r="O1000" s="216"/>
      <c r="P1000" s="216"/>
      <c r="Q1000" s="216"/>
      <c r="R1000" s="216"/>
      <c r="S1000" s="216"/>
      <c r="T1000" s="216"/>
      <c r="U1000" s="216"/>
      <c r="V1000" s="216"/>
      <c r="W1000" s="216"/>
      <c r="X1000" s="216"/>
      <c r="Y1000" s="216"/>
      <c r="Z1000" s="216"/>
      <c r="AA1000" s="216"/>
    </row>
    <row r="1001" spans="1:27" x14ac:dyDescent="0.25">
      <c r="A1001" s="216"/>
      <c r="B1001" s="216"/>
      <c r="C1001" s="216"/>
      <c r="D1001" s="216"/>
      <c r="E1001" s="216"/>
      <c r="F1001" s="216"/>
      <c r="G1001" s="216"/>
      <c r="H1001" s="216"/>
      <c r="I1001" s="216"/>
      <c r="J1001" s="216"/>
      <c r="K1001" s="216"/>
      <c r="L1001" s="216"/>
      <c r="M1001" s="216"/>
      <c r="N1001" s="216"/>
      <c r="O1001" s="216"/>
      <c r="P1001" s="216"/>
      <c r="Q1001" s="216"/>
      <c r="R1001" s="216"/>
      <c r="S1001" s="216"/>
      <c r="T1001" s="216"/>
      <c r="U1001" s="216"/>
      <c r="V1001" s="216"/>
      <c r="W1001" s="216"/>
      <c r="X1001" s="216"/>
      <c r="Y1001" s="216"/>
      <c r="Z1001" s="216"/>
      <c r="AA1001" s="2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Valuation</vt:lpstr>
      <vt:lpstr>Scenarios</vt:lpstr>
      <vt:lpstr>DCF model</vt:lpstr>
      <vt:lpstr>Comps</vt:lpstr>
      <vt:lpstr>INPUT&gt;&gt;&gt;</vt:lpstr>
      <vt:lpstr>WACC</vt:lpstr>
      <vt:lpstr>IS - ADOBE</vt:lpstr>
      <vt:lpstr>BS - ADOBE</vt:lpstr>
      <vt:lpstr>CF - ADOBE</vt:lpstr>
      <vt:lpstr>SUMMARY&gt;&gt;&gt;</vt:lpstr>
      <vt:lpstr>52 week share price</vt:lpstr>
      <vt:lpstr>Summary</vt:lpstr>
      <vt:lpstr>Model Summary</vt:lpstr>
      <vt:lpstr>D</vt:lpstr>
      <vt:lpstr>D_perc</vt:lpstr>
      <vt:lpstr>E</vt:lpstr>
      <vt:lpstr>E_perc</vt:lpstr>
      <vt:lpstr>kd</vt:lpstr>
      <vt:lpstr>ke</vt:lpstr>
      <vt:lpstr>'52 week share price'!Print_Area</vt:lpstr>
      <vt:lpstr>Comps!Print_Area</vt:lpstr>
      <vt:lpstr>'DCF model'!Print_Area</vt:lpstr>
      <vt:lpstr>scen</vt:lpstr>
      <vt:lpstr>Tax_shield</vt:lpstr>
      <vt:lpstr>Tax_shielf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Manfredi</dc:creator>
  <cp:lastModifiedBy>Nguyen, Tony</cp:lastModifiedBy>
  <dcterms:created xsi:type="dcterms:W3CDTF">2025-11-26T02:28:25Z</dcterms:created>
  <dcterms:modified xsi:type="dcterms:W3CDTF">2026-02-26T03:41:12Z</dcterms:modified>
</cp:coreProperties>
</file>